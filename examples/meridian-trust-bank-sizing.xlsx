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laimer" sheetId="1" state="visible" r:id="rId1"/>
    <sheet name="Inputs" sheetId="2" state="visible" r:id="rId2"/>
    <sheet name="Reference" sheetId="3" state="visible" r:id="rId3"/>
    <sheet name="Models" sheetId="4" state="visible" r:id="rId4"/>
    <sheet name="Sizing Summary" sheetId="5" state="visible" r:id="rId5"/>
    <sheet name="Workload Sizing" sheetId="6" state="visible" r:id="rId6"/>
    <sheet name="GPU Performance" sheetId="7" state="visible" r:id="rId7"/>
    <sheet name="Cluster Architecture" sheetId="8" state="visible" r:id="rId8"/>
    <sheet name="Cluster Requirements" sheetId="9" state="visible" r:id="rId9"/>
    <sheet name="Red Hat Subscriptions" sheetId="10" state="visible" r:id="rId10"/>
    <sheet name="Hardware BOM" sheetId="11" state="visible" r:id="rId11"/>
    <sheet name="Backup and DR" sheetId="12" state="visible" r:id="rId12"/>
    <sheet name="Model Cata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08080"/>
      <sz val="9"/>
    </font>
    <font>
      <b val="1"/>
    </font>
    <font>
      <b val="1"/>
      <color rgb="00FFFFFF"/>
      <sz val="11"/>
    </font>
    <font>
      <color rgb="001E7B34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9DB"/>
      </patternFill>
    </fill>
    <fill>
      <patternFill patternType="solid">
        <fgColor rgb="00151515"/>
      </patternFill>
    </fill>
    <fill>
      <patternFill patternType="solid">
        <fgColor rgb="00FDF2E0"/>
      </patternFill>
    </fill>
    <fill>
      <patternFill patternType="solid">
        <fgColor rgb="00E7F5E9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Meridian Trust Bank – RHAIE Sizing Approximation</t>
        </is>
      </c>
    </row>
    <row r="3">
      <c r="A3" s="2" t="inlineStr">
        <is>
          <t>This is a sizing approximation for Red Hat AI Enterprise on OpenShift. Numbers and suggestions here are based on approximation and estimates provided through the RHOAI Sizing Wizard app. For an actual sizing, a separate sizing workshop with Red Hat is recommended.</t>
        </is>
      </c>
    </row>
    <row r="4"/>
    <row r="5"/>
    <row r="6"/>
    <row r="8">
      <c r="A8" s="2" t="inlineStr">
        <is>
          <t>This workbook is formula-driven: the Inputs, Reference and Models sheets hold literal values (yellow fill = editable); every other sheet computes from those cells with real Excel formulas. The live Step 5 dashboard in the wizard app uses the same assumptions for a quick preview, but this workbook — not the dashboard — is the canonical, auditable deliverable.</t>
        </is>
      </c>
    </row>
    <row r="9"/>
    <row r="10"/>
    <row r="11"/>
    <row r="13">
      <c r="A13" s="3" t="inlineStr">
        <is>
          <t>Generated: 2026-10-02</t>
        </is>
      </c>
    </row>
  </sheetData>
  <mergeCells count="3">
    <mergeCell ref="A3:F6"/>
    <mergeCell ref="A8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6" customWidth="1" min="12" max="12"/>
    <col width="40" customWidth="1" min="13" max="13"/>
  </cols>
  <sheetData>
    <row r="1" ht="24" customHeight="1">
      <c r="A1" s="1" t="inlineStr">
        <is>
          <t>Inputs — literal values entered in the wizard (yellow = editable)</t>
        </is>
      </c>
    </row>
    <row r="3">
      <c r="A3" s="4" t="inlineStr">
        <is>
          <t>A. Customer &amp; deployment</t>
        </is>
      </c>
    </row>
    <row r="4">
      <c r="A4" t="inlineStr">
        <is>
          <t>Customer name</t>
        </is>
      </c>
      <c r="B4" s="5" t="inlineStr">
        <is>
          <t>Meridian Trust Bank</t>
        </is>
      </c>
    </row>
    <row r="5">
      <c r="A5" t="inlineStr">
        <is>
          <t>Project name</t>
        </is>
      </c>
      <c r="B5" s="5" t="inlineStr">
        <is>
          <t>Meridian AI</t>
        </is>
      </c>
    </row>
    <row r="6">
      <c r="A6" t="inlineStr">
        <is>
          <t>Deployment type</t>
        </is>
      </c>
      <c r="B6" s="5" t="inlineStr">
        <is>
          <t>production</t>
        </is>
      </c>
    </row>
    <row r="7">
      <c r="A7" t="inlineStr">
        <is>
          <t>OpenShift version</t>
        </is>
      </c>
      <c r="B7" s="5" t="inlineStr">
        <is>
          <t>4.21</t>
        </is>
      </c>
    </row>
    <row r="8">
      <c r="A8" t="inlineStr">
        <is>
          <t>Network connectivity</t>
        </is>
      </c>
      <c r="B8" s="5" t="inlineStr">
        <is>
          <t>connected_proxy</t>
        </is>
      </c>
    </row>
    <row r="9">
      <c r="A9" t="inlineStr">
        <is>
          <t>Deployment target</t>
        </is>
      </c>
      <c r="B9" s="5" t="inlineStr">
        <is>
          <t>on_prem_bare_metal</t>
        </is>
      </c>
    </row>
    <row r="10">
      <c r="A10" t="inlineStr">
        <is>
          <t>Planning horizon (years)</t>
        </is>
      </c>
      <c r="B10" s="5" t="n">
        <v>3</v>
      </c>
    </row>
    <row r="11">
      <c r="A11" t="inlineStr">
        <is>
          <t>Annual growth rate</t>
        </is>
      </c>
      <c r="B11" s="5" t="n">
        <v>0.25</v>
      </c>
    </row>
    <row r="12">
      <c r="A12" t="inlineStr">
        <is>
          <t>Env: Production</t>
        </is>
      </c>
      <c r="B12" s="5" t="b">
        <v>1</v>
      </c>
    </row>
    <row r="13">
      <c r="A13" t="inlineStr">
        <is>
          <t>Env: Disaster recovery</t>
        </is>
      </c>
      <c r="B13" s="5" t="b">
        <v>0</v>
      </c>
    </row>
    <row r="14">
      <c r="A14" t="inlineStr">
        <is>
          <t>Env: Test / UAT</t>
        </is>
      </c>
      <c r="B14" s="5" t="b">
        <v>1</v>
      </c>
    </row>
    <row r="15">
      <c r="A15" t="inlineStr">
        <is>
          <t>Env: Development</t>
        </is>
      </c>
      <c r="B15" s="5" t="b">
        <v>1</v>
      </c>
    </row>
    <row r="17">
      <c r="A17" s="4" t="inlineStr">
        <is>
          <t>B. Hardware inventory</t>
        </is>
      </c>
    </row>
    <row r="18">
      <c r="A18" s="6" t="inlineStr">
        <is>
          <t>Type</t>
        </is>
      </c>
      <c r="B18" s="6" t="inlineStr">
        <is>
          <t>GPU</t>
        </is>
      </c>
      <c r="C18" s="6" t="inlineStr">
        <is>
          <t>Count</t>
        </is>
      </c>
      <c r="D18" s="6" t="inlineStr">
        <is>
          <t>Form factor</t>
        </is>
      </c>
      <c r="E18" s="6" t="inlineStr">
        <is>
          <t>Servers</t>
        </is>
      </c>
    </row>
    <row r="19">
      <c r="A19" s="7" t="inlineStr">
        <is>
          <t>Existing</t>
        </is>
      </c>
      <c r="B19" s="7" t="inlineStr">
        <is>
          <t>H200 NVL</t>
        </is>
      </c>
      <c r="C19" s="7" t="n">
        <v>8</v>
      </c>
      <c r="D19" s="7" t="inlineStr">
        <is>
          <t>HGX SXM 8-GPU</t>
        </is>
      </c>
      <c r="E19" s="7" t="n">
        <v>2</v>
      </c>
    </row>
    <row r="20">
      <c r="A20" s="7" t="inlineStr">
        <is>
          <t>Planned</t>
        </is>
      </c>
      <c r="B20" s="7" t="inlineStr">
        <is>
          <t>B300</t>
        </is>
      </c>
      <c r="C20" s="7" t="n">
        <v>8</v>
      </c>
      <c r="D20" s="7" t="inlineStr">
        <is>
          <t>HGX SXM 8-GPU</t>
        </is>
      </c>
      <c r="E20" s="7" t="n">
        <v>1</v>
      </c>
    </row>
    <row r="22">
      <c r="A22" s="4" t="inlineStr">
        <is>
          <t>C. Platform configuration</t>
        </is>
      </c>
    </row>
    <row r="23">
      <c r="A23" t="inlineStr">
        <is>
          <t>Number of data science projects</t>
        </is>
      </c>
      <c r="B23" s="5" t="n">
        <v>5</v>
      </c>
    </row>
    <row r="24">
      <c r="A24" t="inlineStr">
        <is>
          <t>Concurrent workbenches</t>
        </is>
      </c>
      <c r="B24" s="5" t="n">
        <v>5</v>
      </c>
    </row>
    <row r="25">
      <c r="A25" t="inlineStr">
        <is>
          <t>Workbench PVC size (GB)</t>
        </is>
      </c>
      <c r="B25" s="5" t="n">
        <v>50</v>
      </c>
    </row>
    <row r="26">
      <c r="A26" t="inlineStr">
        <is>
          <t>Concurrent training jobs</t>
        </is>
      </c>
      <c r="B26" s="5" t="n">
        <v>0</v>
      </c>
    </row>
    <row r="27">
      <c r="A27" t="inlineStr">
        <is>
          <t>Concurrent eval jobs</t>
        </is>
      </c>
      <c r="B27" s="5" t="n">
        <v>1</v>
      </c>
    </row>
    <row r="28">
      <c r="A28" t="inlineStr">
        <is>
          <t>Vector DB instances</t>
        </is>
      </c>
      <c r="B28" s="5" t="n">
        <v>1</v>
      </c>
    </row>
    <row r="29">
      <c r="A29" t="inlineStr">
        <is>
          <t>Concurrent pipeline runs</t>
        </is>
      </c>
      <c r="B29" s="5" t="n">
        <v>2</v>
      </c>
    </row>
    <row r="30">
      <c r="A30" t="inlineStr">
        <is>
          <t>Infra nodes per cluster</t>
        </is>
      </c>
      <c r="B30" s="5" t="n">
        <v>3</v>
      </c>
    </row>
    <row r="31">
      <c r="A31" t="inlineStr">
        <is>
          <t>Max CPU worker utilization (0-1)</t>
        </is>
      </c>
      <c r="B31" s="5" t="n">
        <v>0.8</v>
      </c>
    </row>
    <row r="32">
      <c r="A32" t="inlineStr">
        <is>
          <t>Model versions kept</t>
        </is>
      </c>
      <c r="B32" s="5" t="n">
        <v>2</v>
      </c>
    </row>
    <row r="33">
      <c r="A33" t="inlineStr">
        <is>
          <t>Prometheus retention (days)</t>
        </is>
      </c>
      <c r="B33" s="5" t="n">
        <v>15</v>
      </c>
    </row>
    <row r="34">
      <c r="A34" t="inlineStr">
        <is>
          <t>Loki retention (days)</t>
        </is>
      </c>
      <c r="B34" s="5" t="n">
        <v>90</v>
      </c>
    </row>
    <row r="36">
      <c r="A36" s="4" t="inlineStr">
        <is>
          <t>D. Enabled DataScienceCluster components</t>
        </is>
      </c>
    </row>
    <row r="37">
      <c r="A37" s="6" t="inlineStr">
        <is>
          <t>Component</t>
        </is>
      </c>
      <c r="B37" s="6" t="inlineStr">
        <is>
          <t>Enabled</t>
        </is>
      </c>
    </row>
    <row r="38">
      <c r="A38" t="inlineStr">
        <is>
          <t>Dashboard</t>
        </is>
      </c>
      <c r="B38" s="5" t="b">
        <v>1</v>
      </c>
    </row>
    <row r="39">
      <c r="A39" t="inlineStr">
        <is>
          <t>Workbenches</t>
        </is>
      </c>
      <c r="B39" s="5" t="b">
        <v>1</v>
      </c>
    </row>
    <row r="40">
      <c r="A40" t="inlineStr">
        <is>
          <t>AI Pipelines</t>
        </is>
      </c>
      <c r="B40" s="5" t="b">
        <v>1</v>
      </c>
    </row>
    <row r="41">
      <c r="A41" t="inlineStr">
        <is>
          <t>KServe (Model Serving)</t>
        </is>
      </c>
      <c r="B41" s="5" t="b">
        <v>1</v>
      </c>
    </row>
    <row r="42">
      <c r="A42" t="inlineStr">
        <is>
          <t>AI Gateway / MaaS (Models-as-a-Service)</t>
        </is>
      </c>
      <c r="B42" s="5" t="b">
        <v>0</v>
      </c>
    </row>
    <row r="43">
      <c r="A43" t="inlineStr">
        <is>
          <t>Kueue</t>
        </is>
      </c>
      <c r="B43" s="5" t="b">
        <v>1</v>
      </c>
    </row>
    <row r="44">
      <c r="A44" t="inlineStr">
        <is>
          <t>Ray (KubeRay)</t>
        </is>
      </c>
      <c r="B44" s="5" t="b">
        <v>0</v>
      </c>
    </row>
    <row r="45">
      <c r="A45" t="inlineStr">
        <is>
          <t>Kubeflow Trainer v2</t>
        </is>
      </c>
      <c r="B45" s="5" t="b">
        <v>0</v>
      </c>
    </row>
    <row r="46">
      <c r="A46" t="inlineStr">
        <is>
          <t>Kubeflow Training Operator v1</t>
        </is>
      </c>
      <c r="B46" s="5" t="b">
        <v>0</v>
      </c>
    </row>
    <row r="47">
      <c r="A47" t="inlineStr">
        <is>
          <t>Feature Store (Feast)</t>
        </is>
      </c>
      <c r="B47" s="5" t="b">
        <v>0</v>
      </c>
    </row>
    <row r="48">
      <c r="A48" t="inlineStr">
        <is>
          <t>Model Registry</t>
        </is>
      </c>
      <c r="B48" s="5" t="b">
        <v>1</v>
      </c>
    </row>
    <row r="49">
      <c r="A49" t="inlineStr">
        <is>
          <t>TrustyAI / Guardrails / EvalHub</t>
        </is>
      </c>
      <c r="B49" s="5" t="b">
        <v>1</v>
      </c>
    </row>
    <row r="50">
      <c r="A50" t="inlineStr">
        <is>
          <t>MLflow</t>
        </is>
      </c>
      <c r="B50" s="5" t="b">
        <v>1</v>
      </c>
    </row>
    <row r="51">
      <c r="A51" t="inlineStr">
        <is>
          <t>OGX (formerly Llama Stack)</t>
        </is>
      </c>
      <c r="B51" s="5" t="b">
        <v>1</v>
      </c>
    </row>
    <row r="52">
      <c r="A52" t="inlineStr">
        <is>
          <t>MCP Lifecycle Operator</t>
        </is>
      </c>
      <c r="B52" s="5" t="b">
        <v>0</v>
      </c>
    </row>
    <row r="54">
      <c r="A54" s="4" t="inlineStr">
        <is>
          <t>E. Enabled per-project instances</t>
        </is>
      </c>
    </row>
    <row r="55">
      <c r="A55" s="6" t="inlineStr">
        <is>
          <t>Per-project instance</t>
        </is>
      </c>
      <c r="B55" s="6" t="inlineStr">
        <is>
          <t>Enabled</t>
        </is>
      </c>
    </row>
    <row r="56">
      <c r="A56" t="inlineStr">
        <is>
          <t>Pipeline server</t>
        </is>
      </c>
      <c r="B56" s="5" t="b">
        <v>1</v>
      </c>
    </row>
    <row r="57">
      <c r="A57" t="inlineStr">
        <is>
          <t>MLflow server</t>
        </is>
      </c>
      <c r="B57" s="5" t="b">
        <v>1</v>
      </c>
    </row>
    <row r="58">
      <c r="A58" t="inlineStr">
        <is>
          <t>OGX server</t>
        </is>
      </c>
      <c r="B58" s="5" t="b">
        <v>1</v>
      </c>
    </row>
    <row r="59">
      <c r="A59" t="inlineStr">
        <is>
          <t>PostgreSQL for OGX</t>
        </is>
      </c>
      <c r="B59" s="5" t="b">
        <v>0</v>
      </c>
    </row>
    <row r="60">
      <c r="A60" t="inlineStr">
        <is>
          <t>Model registry instance</t>
        </is>
      </c>
      <c r="B60" s="5" t="b">
        <v>1</v>
      </c>
    </row>
    <row r="61">
      <c r="A61" t="inlineStr">
        <is>
          <t>TrustyAI / guardrails per project</t>
        </is>
      </c>
      <c r="B61" s="5" t="b">
        <v>1</v>
      </c>
    </row>
    <row r="62">
      <c r="A62" t="inlineStr">
        <is>
          <t>EvalHub per-tenant instance</t>
        </is>
      </c>
      <c r="B62" s="5" t="b">
        <v>0</v>
      </c>
    </row>
    <row r="64">
      <c r="A64" s="4" t="inlineStr">
        <is>
          <t>F. Use cases (freeform, mapped to a sized model)</t>
        </is>
      </c>
    </row>
    <row r="65">
      <c r="A65" s="6" t="inlineStr">
        <is>
          <t>Use case</t>
        </is>
      </c>
      <c r="B65" s="6" t="inlineStr">
        <is>
          <t>Served by model</t>
        </is>
      </c>
      <c r="C65" s="6" t="inlineStr">
        <is>
          <t>Users — Low</t>
        </is>
      </c>
      <c r="D65" s="6" t="inlineStr">
        <is>
          <t>Users — High</t>
        </is>
      </c>
      <c r="E65" s="6" t="inlineStr">
        <is>
          <t>Share in flight</t>
        </is>
      </c>
      <c r="F65" s="6" t="inlineStr">
        <is>
          <t>Input tokens</t>
        </is>
      </c>
      <c r="G65" s="6" t="inlineStr">
        <is>
          <t>Output tokens</t>
        </is>
      </c>
      <c r="H65" s="6" t="inlineStr">
        <is>
          <t>Prefix cache hit rate</t>
        </is>
      </c>
      <c r="I65" s="6" t="inlineStr">
        <is>
          <t>TTFT target (s)</t>
        </is>
      </c>
      <c r="J65" s="6" t="inlineStr">
        <is>
          <t>Tokens/s target</t>
        </is>
      </c>
      <c r="K65" s="6" t="inlineStr">
        <is>
          <t>Screened by guard</t>
        </is>
      </c>
      <c r="L65" s="6" t="inlineStr">
        <is>
          <t>Guard calls/request</t>
        </is>
      </c>
      <c r="M65" s="6" t="inlineStr">
        <is>
          <t>Notes</t>
        </is>
      </c>
    </row>
    <row r="66">
      <c r="A66" s="7" t="inlineStr">
        <is>
          <t>Coding assistant</t>
        </is>
      </c>
      <c r="B66" s="7" t="inlineStr">
        <is>
          <t>Qwen/Qwen3-32B</t>
        </is>
      </c>
      <c r="C66" s="7" t="n">
        <v>60</v>
      </c>
      <c r="D66" s="7" t="n">
        <v>80</v>
      </c>
      <c r="E66" s="7" t="n">
        <v>0.3</v>
      </c>
      <c r="F66" s="7" t="n">
        <v>150000</v>
      </c>
      <c r="G66" s="7" t="n">
        <v>500</v>
      </c>
      <c r="H66" s="7" t="n">
        <v>0.2</v>
      </c>
      <c r="I66" s="7" t="n">
        <v>8</v>
      </c>
      <c r="J66" s="7" t="n">
        <v>40</v>
      </c>
      <c r="K66" s="7" t="b">
        <v>0</v>
      </c>
      <c r="L66" s="7" t="n">
        <v>2</v>
      </c>
      <c r="M66" s="7" t="inlineStr">
        <is>
          <t>Long context (~150K tokens), agentic developer use — Preferred model: Qwen3.6-35B-A3B</t>
        </is>
      </c>
    </row>
    <row r="67">
      <c r="A67" s="7" t="inlineStr">
        <is>
          <t>Customer support chatbot</t>
        </is>
      </c>
      <c r="B67" s="7" t="inlineStr"/>
      <c r="C67" s="7" t="n">
        <v>200</v>
      </c>
      <c r="D67" s="7" t="n">
        <v>800</v>
      </c>
      <c r="E67" s="7" t="n">
        <v>0.3</v>
      </c>
      <c r="F67" s="7" t="n">
        <v>8000</v>
      </c>
      <c r="G67" s="7" t="n">
        <v>400</v>
      </c>
      <c r="H67" s="7" t="n">
        <v>0.2</v>
      </c>
      <c r="I67" s="7" t="n">
        <v>2.5</v>
      </c>
      <c r="J67" s="7" t="n">
        <v>90</v>
      </c>
      <c r="K67" s="7" t="b">
        <v>0</v>
      </c>
      <c r="L67" s="7" t="n">
        <v>2</v>
      </c>
      <c r="M67" s="7" t="inlineStr">
        <is>
          <t>Customer-facing, wants fast response</t>
        </is>
      </c>
    </row>
    <row r="68">
      <c r="A68" s="7" t="inlineStr">
        <is>
          <t>Compliance document reviewer</t>
        </is>
      </c>
      <c r="B68" s="7" t="inlineStr"/>
      <c r="C68" s="7" t="n">
        <v>15</v>
      </c>
      <c r="D68" s="7" t="n">
        <v>15</v>
      </c>
      <c r="E68" s="7" t="n">
        <v>0.3</v>
      </c>
      <c r="F68" s="7" t="n">
        <v>15000</v>
      </c>
      <c r="G68" s="7" t="n">
        <v>800</v>
      </c>
      <c r="H68" s="7" t="n">
        <v>0.2</v>
      </c>
      <c r="I68" s="7" t="n">
        <v>6</v>
      </c>
      <c r="J68" s="7" t="n">
        <v>50</v>
      </c>
      <c r="K68" s="7" t="b">
        <v>0</v>
      </c>
      <c r="L68" s="7" t="n">
        <v>2</v>
      </c>
      <c r="M68" s="7" t="inlineStr">
        <is>
          <t>15 analysts, 4 hours/day, policy docs + case notes as input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16" customWidth="1" min="4" max="4"/>
    <col width="18" customWidth="1" min="5" max="5"/>
    <col width="18" customWidth="1" min="6" max="6"/>
    <col width="12" customWidth="1" min="7" max="7"/>
    <col width="32" customWidth="1" min="8" max="8"/>
  </cols>
  <sheetData>
    <row r="1" ht="24" customHeight="1">
      <c r="A1" s="1" t="inlineStr">
        <is>
          <t>Reference — sourced constants (RHOAI 3.5 sizing workbook, OpenShift docs)</t>
        </is>
      </c>
    </row>
    <row r="3">
      <c r="A3" s="4" t="inlineStr">
        <is>
          <t>A. GPU specifications</t>
        </is>
      </c>
    </row>
    <row r="4">
      <c r="A4" s="6" t="inlineStr">
        <is>
          <t>GPU</t>
        </is>
      </c>
      <c r="B4" s="6" t="inlineStr">
        <is>
          <t>Memory (GB)</t>
        </is>
      </c>
      <c r="C4" s="6" t="inlineStr">
        <is>
          <t>HBM BW (TB/s)</t>
        </is>
      </c>
      <c r="D4" s="6" t="inlineStr">
        <is>
          <t>Dense FP4 PFLOPS</t>
        </is>
      </c>
      <c r="E4" s="6" t="inlineStr">
        <is>
          <t>Dense FP8 PFLOPS</t>
        </is>
      </c>
      <c r="F4" s="6" t="inlineStr">
        <is>
          <t>Dense BF16 PFLOPS</t>
        </is>
      </c>
      <c r="G4" s="6" t="inlineStr">
        <is>
          <t>Power (W)</t>
        </is>
      </c>
      <c r="H4" s="6" t="inlineStr">
        <is>
          <t>Form factor</t>
        </is>
      </c>
    </row>
    <row r="5">
      <c r="A5" s="8" t="inlineStr">
        <is>
          <t>B300</t>
        </is>
      </c>
      <c r="B5" s="8" t="n">
        <v>270</v>
      </c>
      <c r="C5" s="8" t="n">
        <v>8</v>
      </c>
      <c r="D5" s="8" t="n">
        <v>13.5</v>
      </c>
      <c r="E5" s="8" t="n">
        <v>4.5</v>
      </c>
      <c r="F5" s="8" t="n">
        <v>2.25</v>
      </c>
      <c r="G5" s="8" t="n">
        <v>1100</v>
      </c>
      <c r="H5" s="8" t="inlineStr">
        <is>
          <t>HGX SXM, 8 per node (NVL8)</t>
        </is>
      </c>
    </row>
    <row r="6">
      <c r="A6" s="8" t="inlineStr">
        <is>
          <t>B200</t>
        </is>
      </c>
      <c r="B6" s="8" t="n">
        <v>180</v>
      </c>
      <c r="C6" s="8" t="n">
        <v>8</v>
      </c>
      <c r="D6" s="8" t="n">
        <v>9</v>
      </c>
      <c r="E6" s="8" t="n">
        <v>4.5</v>
      </c>
      <c r="F6" s="8" t="n">
        <v>2.25</v>
      </c>
      <c r="G6" s="8" t="n">
        <v>1000</v>
      </c>
      <c r="H6" s="8" t="inlineStr">
        <is>
          <t>HGX SXM, 8 per node</t>
        </is>
      </c>
    </row>
    <row r="7">
      <c r="A7" s="8" t="inlineStr">
        <is>
          <t>H200 NVL</t>
        </is>
      </c>
      <c r="B7" s="8" t="n">
        <v>141</v>
      </c>
      <c r="C7" s="8" t="n">
        <v>4.8</v>
      </c>
      <c r="D7" s="8" t="n">
        <v>0</v>
      </c>
      <c r="E7" s="8" t="n">
        <v>1.671</v>
      </c>
      <c r="F7" s="8" t="n">
        <v>0.836</v>
      </c>
      <c r="G7" s="8" t="n">
        <v>600</v>
      </c>
      <c r="H7" s="8" t="inlineStr">
        <is>
          <t>PCIe with NVLink bridge pairs (NVL2)</t>
        </is>
      </c>
    </row>
    <row r="8">
      <c r="A8" s="8" t="inlineStr">
        <is>
          <t>H100 NVL</t>
        </is>
      </c>
      <c r="B8" s="8" t="n">
        <v>94</v>
      </c>
      <c r="C8" s="8" t="n">
        <v>3.9</v>
      </c>
      <c r="D8" s="8" t="n">
        <v>0</v>
      </c>
      <c r="E8" s="8" t="n">
        <v>1.671</v>
      </c>
      <c r="F8" s="8" t="n">
        <v>0.836</v>
      </c>
      <c r="G8" s="8" t="n">
        <v>400</v>
      </c>
      <c r="H8" s="8" t="inlineStr">
        <is>
          <t>PCIe with NVLink bridge pairs (NVL2)</t>
        </is>
      </c>
    </row>
    <row r="10">
      <c r="A10" s="4" t="inlineStr">
        <is>
          <t>B. Control plane sizing tiers (by total worker node count, High scenario)</t>
        </is>
      </c>
    </row>
    <row r="11">
      <c r="A11" s="6" t="inlineStr">
        <is>
          <t>Workers up to</t>
        </is>
      </c>
      <c r="B11" s="6" t="inlineStr">
        <is>
          <t>CPU cores</t>
        </is>
      </c>
      <c r="C11" s="6" t="inlineStr">
        <is>
          <t>Memory (GB)</t>
        </is>
      </c>
      <c r="D11" s="6" t="inlineStr">
        <is>
          <t>CPU cores (OVN-K)</t>
        </is>
      </c>
      <c r="E11" s="6" t="inlineStr">
        <is>
          <t>Memory GB (OVN-K)</t>
        </is>
      </c>
    </row>
    <row r="12">
      <c r="A12" s="8" t="n">
        <v>24</v>
      </c>
      <c r="B12" s="8" t="n">
        <v>4</v>
      </c>
      <c r="C12" s="8" t="n">
        <v>16</v>
      </c>
      <c r="D12" s="8" t="n">
        <v>4</v>
      </c>
      <c r="E12" s="8" t="n">
        <v>16</v>
      </c>
    </row>
    <row r="13">
      <c r="A13" s="8" t="n">
        <v>120</v>
      </c>
      <c r="B13" s="8" t="n">
        <v>8</v>
      </c>
      <c r="C13" s="8" t="n">
        <v>32</v>
      </c>
      <c r="D13" s="8" t="n">
        <v>8</v>
      </c>
      <c r="E13" s="8" t="n">
        <v>32</v>
      </c>
    </row>
    <row r="14">
      <c r="A14" s="8" t="n">
        <v>252</v>
      </c>
      <c r="B14" s="8" t="n">
        <v>16</v>
      </c>
      <c r="C14" s="8" t="n">
        <v>64</v>
      </c>
      <c r="D14" s="8" t="n">
        <v>24</v>
      </c>
      <c r="E14" s="8" t="n">
        <v>128</v>
      </c>
    </row>
    <row r="15">
      <c r="A15" s="8" t="n">
        <v>501</v>
      </c>
      <c r="B15" s="8" t="n">
        <v>16</v>
      </c>
      <c r="C15" s="8" t="n">
        <v>96</v>
      </c>
      <c r="D15" s="8" t="n">
        <v>16</v>
      </c>
      <c r="E15" s="8" t="n">
        <v>96</v>
      </c>
    </row>
    <row r="17">
      <c r="A17" s="4" t="inlineStr">
        <is>
          <t>C. Infra node sizing tiers (by total worker node count, High scenario)</t>
        </is>
      </c>
    </row>
    <row r="18">
      <c r="A18" s="6" t="inlineStr">
        <is>
          <t>Workers up to</t>
        </is>
      </c>
      <c r="B18" s="6" t="inlineStr">
        <is>
          <t>CPU cores</t>
        </is>
      </c>
      <c r="C18" s="6" t="inlineStr">
        <is>
          <t>Memory (GB)</t>
        </is>
      </c>
    </row>
    <row r="19">
      <c r="A19" s="8" t="n">
        <v>27</v>
      </c>
      <c r="B19" s="8" t="n">
        <v>4</v>
      </c>
      <c r="C19" s="8" t="n">
        <v>24</v>
      </c>
    </row>
    <row r="20">
      <c r="A20" s="8" t="n">
        <v>120</v>
      </c>
      <c r="B20" s="8" t="n">
        <v>8</v>
      </c>
      <c r="C20" s="8" t="n">
        <v>48</v>
      </c>
    </row>
    <row r="21">
      <c r="A21" s="8" t="n">
        <v>252</v>
      </c>
      <c r="B21" s="8" t="n">
        <v>16</v>
      </c>
      <c r="C21" s="8" t="n">
        <v>128</v>
      </c>
    </row>
    <row r="22">
      <c r="A22" s="8" t="n">
        <v>501</v>
      </c>
      <c r="B22" s="8" t="n">
        <v>32</v>
      </c>
      <c r="C22" s="8" t="n">
        <v>128</v>
      </c>
    </row>
    <row r="24">
      <c r="A24" s="4" t="inlineStr">
        <is>
          <t>D. Non-GPU platform overhead line items (Cluster Architecture Table D)</t>
        </is>
      </c>
    </row>
    <row r="25">
      <c r="A25" s="6" t="inlineStr">
        <is>
          <t>Key</t>
        </is>
      </c>
      <c r="B25" s="6" t="inlineStr">
        <is>
          <t>Label</t>
        </is>
      </c>
      <c r="C25" s="6" t="inlineStr">
        <is>
          <t>vCPU</t>
        </is>
      </c>
      <c r="D25" s="6" t="inlineStr">
        <is>
          <t>RAM (GiB)</t>
        </is>
      </c>
      <c r="E25" s="6" t="inlineStr">
        <is>
          <t>Gated by</t>
        </is>
      </c>
    </row>
    <row r="26">
      <c r="A26" s="8" t="inlineStr">
        <is>
          <t>rhoai_controllers</t>
        </is>
      </c>
      <c r="B26" s="8" t="inlineStr">
        <is>
          <t>RHOAI controllers (Dashboard, KServe controller, Model Registry, MLflow)</t>
        </is>
      </c>
      <c r="C26" s="8" t="n">
        <v>4.18</v>
      </c>
      <c r="D26" s="8" t="n">
        <v>6.74</v>
      </c>
      <c r="E26" s="8" t="inlineStr">
        <is>
          <t>always</t>
        </is>
      </c>
    </row>
    <row r="27">
      <c r="A27" s="8" t="inlineStr">
        <is>
          <t>openshift_platform_services</t>
        </is>
      </c>
      <c r="B27" s="8" t="inlineStr">
        <is>
          <t>OpenShift platform services (ingress, monitoring, logging/Loki, OADP)</t>
        </is>
      </c>
      <c r="C27" s="8" t="n">
        <v>8</v>
      </c>
      <c r="D27" s="8" t="n">
        <v>24</v>
      </c>
      <c r="E27" s="8" t="inlineStr">
        <is>
          <t>always</t>
        </is>
      </c>
    </row>
    <row r="28">
      <c r="A28" s="8" t="inlineStr">
        <is>
          <t>node_feature_discovery_stack</t>
        </is>
      </c>
      <c r="B28" s="8" t="inlineStr">
        <is>
          <t>Node Feature Discovery, GPU Operator daemonsets, cert-manager, Connectivity Link, Authorino, Limitador</t>
        </is>
      </c>
      <c r="C28" s="8" t="n">
        <v>3</v>
      </c>
      <c r="D28" s="8" t="n">
        <v>6</v>
      </c>
      <c r="E28" s="8" t="inlineStr">
        <is>
          <t>anyGpu</t>
        </is>
      </c>
    </row>
    <row r="29">
      <c r="A29" s="8" t="inlineStr">
        <is>
          <t>ai_gateway_and_dbs</t>
        </is>
      </c>
      <c r="B29" s="8" t="inlineStr">
        <is>
          <t>AI Gateway / MaaS + Model Registry/MLflow databases</t>
        </is>
      </c>
      <c r="C29" s="8" t="n">
        <v>3</v>
      </c>
      <c r="D29" s="8" t="n">
        <v>8</v>
      </c>
      <c r="E29" s="8" t="inlineStr">
        <is>
          <t>maas OR modelregistry OR mlflowoperator</t>
        </is>
      </c>
    </row>
    <row r="30">
      <c r="A30" s="8" t="inlineStr">
        <is>
          <t>aipipelines_controller</t>
        </is>
      </c>
      <c r="B30" s="8" t="inlineStr">
        <is>
          <t>AI Pipelines controller (Kubeflow Pipelines + Argo Workflows)</t>
        </is>
      </c>
      <c r="C30" s="8" t="n">
        <v>4</v>
      </c>
      <c r="D30" s="8" t="n">
        <v>12</v>
      </c>
      <c r="E30" s="8" t="inlineStr">
        <is>
          <t>aipipelines</t>
        </is>
      </c>
    </row>
    <row r="31">
      <c r="A31" s="8" t="inlineStr">
        <is>
          <t>cluster_observability_operator</t>
        </is>
      </c>
      <c r="B31" s="8" t="inlineStr">
        <is>
          <t>Cluster Observability Operator (llm-d dashboards)</t>
        </is>
      </c>
      <c r="C31" s="8" t="n">
        <v>2</v>
      </c>
      <c r="D31" s="8" t="n">
        <v>6</v>
      </c>
      <c r="E31" s="8" t="inlineStr">
        <is>
          <t>kserve</t>
        </is>
      </c>
    </row>
    <row r="32">
      <c r="A32" s="8" t="inlineStr">
        <is>
          <t>kueue_controller</t>
        </is>
      </c>
      <c r="B32" s="8" t="inlineStr">
        <is>
          <t>Kueue controller</t>
        </is>
      </c>
      <c r="C32" s="8" t="n">
        <v>1.6</v>
      </c>
      <c r="D32" s="8" t="n">
        <v>2</v>
      </c>
      <c r="E32" s="8" t="inlineStr">
        <is>
          <t>kueue</t>
        </is>
      </c>
    </row>
    <row r="33">
      <c r="A33" s="8" t="inlineStr">
        <is>
          <t>llmd_inference_scheduler_gateway</t>
        </is>
      </c>
      <c r="B33" s="8" t="inlineStr">
        <is>
          <t>llm-d inference scheduler + gateway (EPP + inference gateway)</t>
        </is>
      </c>
      <c r="C33" s="8" t="n">
        <v>4</v>
      </c>
      <c r="D33" s="8" t="n">
        <v>8</v>
      </c>
      <c r="E33" s="8" t="inlineStr">
        <is>
          <t>kserve</t>
        </is>
      </c>
    </row>
    <row r="35">
      <c r="A35" s="4" t="inlineStr">
        <is>
          <t>E. Platform constants</t>
        </is>
      </c>
    </row>
    <row r="36">
      <c r="A36" t="inlineStr">
        <is>
          <t>controlPlaneNodesPerCluster</t>
        </is>
      </c>
      <c r="B36" t="n">
        <v>3</v>
      </c>
    </row>
    <row r="37">
      <c r="A37" t="inlineStr">
        <is>
          <t>controlPlaneNodeMinVcpu</t>
        </is>
      </c>
      <c r="B37" t="n">
        <v>4</v>
      </c>
    </row>
    <row r="38">
      <c r="A38" t="inlineStr">
        <is>
          <t>controlPlaneNodeMinRamGB</t>
        </is>
      </c>
      <c r="B38" t="n">
        <v>16</v>
      </c>
    </row>
    <row r="39">
      <c r="A39" t="inlineStr">
        <is>
          <t>rhoaiInstallMinWorkerNodes</t>
        </is>
      </c>
      <c r="B39" t="n">
        <v>2</v>
      </c>
    </row>
    <row r="40">
      <c r="A40" t="inlineStr">
        <is>
          <t>rhoaiInstallMinVcpuPerWorker</t>
        </is>
      </c>
      <c r="B40" t="n">
        <v>8</v>
      </c>
    </row>
    <row r="41">
      <c r="A41" t="inlineStr">
        <is>
          <t>rhoaiInstallMinRamPerWorkerGiB</t>
        </is>
      </c>
      <c r="B41" t="n">
        <v>32</v>
      </c>
    </row>
    <row r="42">
      <c r="A42" t="inlineStr">
        <is>
          <t>rhoaiPlatformServicesPlanningAllowanceVcpu</t>
        </is>
      </c>
      <c r="B42" t="n">
        <v>16</v>
      </c>
    </row>
    <row r="43">
      <c r="A43" t="inlineStr">
        <is>
          <t>rhoaiPlatformServicesPlanningAllowanceRamGiB</t>
        </is>
      </c>
      <c r="B43" t="n">
        <v>64</v>
      </c>
    </row>
    <row r="44">
      <c r="A44" t="inlineStr">
        <is>
          <t>distributedWorkloadsControllersVcpu</t>
        </is>
      </c>
      <c r="B44" t="n">
        <v>1.6</v>
      </c>
    </row>
    <row r="45">
      <c r="A45" t="inlineStr">
        <is>
          <t>distributedWorkloadsControllersRamGiB</t>
        </is>
      </c>
      <c r="B45" t="n">
        <v>2</v>
      </c>
    </row>
    <row r="46">
      <c r="A46" t="inlineStr">
        <is>
          <t>openshiftMgmtOverheadPerNodeVcpu</t>
        </is>
      </c>
      <c r="B46" t="n">
        <v>1</v>
      </c>
    </row>
    <row r="47">
      <c r="A47" t="inlineStr">
        <is>
          <t>openshiftMgmtOverheadPerNodeRamGiB</t>
        </is>
      </c>
      <c r="B47" t="n">
        <v>1</v>
      </c>
    </row>
    <row r="48">
      <c r="A48" t="inlineStr">
        <is>
          <t>oauthProxySidecarVcpu</t>
        </is>
      </c>
      <c r="B48" t="n">
        <v>0.1</v>
      </c>
    </row>
    <row r="49">
      <c r="A49" t="inlineStr">
        <is>
          <t>oauthProxySidecarRamGiB</t>
        </is>
      </c>
      <c r="B49" t="n">
        <v>0.0625</v>
      </c>
    </row>
    <row r="50">
      <c r="A50" t="inlineStr">
        <is>
          <t>acmHubReservedVcpu</t>
        </is>
      </c>
      <c r="B50" t="n">
        <v>6</v>
      </c>
    </row>
    <row r="51">
      <c r="A51" t="inlineStr">
        <is>
          <t>acmHubReservedRamGB</t>
        </is>
      </c>
      <c r="B51" t="n">
        <v>12</v>
      </c>
    </row>
    <row r="52">
      <c r="A52" t="inlineStr">
        <is>
          <t>acmObservabilityS3At10ManagedClustersGiB</t>
        </is>
      </c>
      <c r="B52" t="n">
        <v>16.2</v>
      </c>
    </row>
    <row r="53">
      <c r="A53" t="inlineStr">
        <is>
          <t>acmObservabilityS3At20ManagedClustersGiB</t>
        </is>
      </c>
      <c r="B53" t="n">
        <v>23.8</v>
      </c>
    </row>
    <row r="54">
      <c r="A54" t="inlineStr">
        <is>
          <t>acmObservabilityS3PerManagedClusterGiB</t>
        </is>
      </c>
      <c r="B54" t="n">
        <v>0.76</v>
      </c>
    </row>
    <row r="55">
      <c r="A55" t="inlineStr">
        <is>
          <t>acmObservabilityS3FixedBaseGiB</t>
        </is>
      </c>
      <c r="B55" t="n">
        <v>8.6</v>
      </c>
    </row>
    <row r="56">
      <c r="A56" t="inlineStr">
        <is>
          <t>mirrorRegistryHostVcpu</t>
        </is>
      </c>
      <c r="B56" t="n">
        <v>2</v>
      </c>
    </row>
    <row r="57">
      <c r="A57" t="inlineStr">
        <is>
          <t>mirrorRegistryHostRamGB</t>
        </is>
      </c>
      <c r="B57" t="n">
        <v>8</v>
      </c>
    </row>
    <row r="58">
      <c r="A58" t="inlineStr">
        <is>
          <t>internalImageRegistryMinStorageGiB</t>
        </is>
      </c>
      <c r="B58" t="n">
        <v>320</v>
      </c>
    </row>
    <row r="59">
      <c r="A59" t="inlineStr">
        <is>
          <t>prometheusStoragePerNodePerDayGB</t>
        </is>
      </c>
      <c r="B59" t="n">
        <v>0.126</v>
      </c>
    </row>
    <row r="60">
      <c r="A60" t="inlineStr">
        <is>
          <t>hostRamMultiplierOfTotalGpuMemory</t>
        </is>
      </c>
      <c r="B60" t="n">
        <v>2</v>
      </c>
    </row>
    <row r="61">
      <c r="A61" t="inlineStr">
        <is>
          <t>physicalCoresPerGpuCertifiedFloor</t>
        </is>
      </c>
      <c r="B61" t="n">
        <v>6</v>
      </c>
    </row>
    <row r="62">
      <c r="A62" t="inlineStr">
        <is>
          <t>physicalCoresPerGpuEnterpriseRA</t>
        </is>
      </c>
      <c r="B62" t="n">
        <v>7</v>
      </c>
    </row>
    <row r="63">
      <c r="A63" t="inlineStr">
        <is>
          <t>extraCoresPerGpuForOS</t>
        </is>
      </c>
      <c r="B63" t="n">
        <v>2</v>
      </c>
    </row>
    <row r="64">
      <c r="A64" t="inlineStr">
        <is>
          <t>localNvmePerCpuSocketTB</t>
        </is>
      </c>
      <c r="B64" t="n">
        <v>1</v>
      </c>
    </row>
    <row r="65">
      <c r="A65" t="inlineStr">
        <is>
          <t>localNvmeMultiplierOfLargestModelArtifact</t>
        </is>
      </c>
      <c r="B65" t="n">
        <v>2</v>
      </c>
    </row>
    <row r="66">
      <c r="A66" t="inlineStr">
        <is>
          <t>rhoai35EndOfFullSupport</t>
        </is>
      </c>
      <c r="B66" t="inlineStr">
        <is>
          <t>2027-03-27</t>
        </is>
      </c>
    </row>
    <row r="67">
      <c r="A67" t="inlineStr">
        <is>
          <t>acsAdmissionControllerReplicas</t>
        </is>
      </c>
      <c r="B67" t="n">
        <v>3</v>
      </c>
    </row>
    <row r="68">
      <c r="A68" t="inlineStr">
        <is>
          <t>acsLocalScannerV4DbVolumeGiB</t>
        </is>
      </c>
      <c r="B68" t="n">
        <v>10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11" max="11"/>
    <col width="22" customWidth="1" min="19" max="19"/>
  </cols>
  <sheetData>
    <row r="1" ht="24" customHeight="1">
      <c r="A1" s="1" t="inlineStr">
        <is>
          <t>Models — captured from ConfigIQ (Step 2 Recommend/Predict results)</t>
        </is>
      </c>
    </row>
    <row r="3">
      <c r="A3" s="6" t="inlineStr">
        <is>
          <t>Model</t>
        </is>
      </c>
      <c r="B3" s="6" t="inlineStr">
        <is>
          <t>Params (B)</t>
        </is>
      </c>
      <c r="C3" s="6" t="inlineStr">
        <is>
          <t>Active params (B)</t>
        </is>
      </c>
      <c r="D3" s="6" t="inlineStr">
        <is>
          <t>Precision</t>
        </is>
      </c>
      <c r="E3" s="6" t="inlineStr">
        <is>
          <t>GPU</t>
        </is>
      </c>
      <c r="F3" s="6" t="inlineStr">
        <is>
          <t>GPUs/replica</t>
        </is>
      </c>
      <c r="G3" s="6" t="inlineStr">
        <is>
          <t>TP size</t>
        </is>
      </c>
      <c r="H3" s="6" t="inlineStr">
        <is>
          <t>Replicas (ConfigIQ)</t>
        </is>
      </c>
      <c r="I3" s="6" t="inlineStr">
        <is>
          <t>GPUs (ConfigIQ)</t>
        </is>
      </c>
      <c r="J3" s="6" t="inlineStr">
        <is>
          <t>Weights (GB)</t>
        </is>
      </c>
      <c r="K3" s="6" t="inlineStr">
        <is>
          <t>KV cache/1K tok (GB)</t>
        </is>
      </c>
      <c r="L3" s="6" t="inlineStr">
        <is>
          <t>Max concurrent/replica</t>
        </is>
      </c>
      <c r="M3" s="6" t="inlineStr">
        <is>
          <t>TTFT est. (ms)</t>
        </is>
      </c>
      <c r="N3" s="6" t="inlineStr">
        <is>
          <t>TPOT (ms)</t>
        </is>
      </c>
      <c r="O3" s="6" t="inlineStr">
        <is>
          <t>Tokens/s</t>
        </is>
      </c>
      <c r="P3" s="6" t="inlineStr">
        <is>
          <t>Tokens/s/user</t>
        </is>
      </c>
      <c r="Q3" s="6" t="inlineStr">
        <is>
          <t>Mode</t>
        </is>
      </c>
      <c r="R3" s="6" t="inlineStr">
        <is>
          <t>Source</t>
        </is>
      </c>
      <c r="S3" s="6" t="inlineStr">
        <is>
          <t>Captured at</t>
        </is>
      </c>
    </row>
    <row r="4">
      <c r="A4" s="7" t="inlineStr">
        <is>
          <t>Qwen/Qwen3.5-35B-A3B</t>
        </is>
      </c>
      <c r="B4" s="7" t="n"/>
      <c r="C4" s="7" t="n"/>
      <c r="D4" s="7" t="n"/>
      <c r="E4" s="7" t="inlineStr">
        <is>
          <t>NVIDIA B300 SXM6 AC</t>
        </is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64.55825805664062</v>
      </c>
      <c r="K4" s="7" t="n">
        <v>176.3917419426143</v>
      </c>
      <c r="L4" s="7" t="n">
        <v>16</v>
      </c>
      <c r="M4" s="7" t="n">
        <v>1115.657180531249</v>
      </c>
      <c r="N4" s="7" t="n">
        <v>8.457285179989004</v>
      </c>
      <c r="O4" s="7" t="n">
        <v>1776.811088098435</v>
      </c>
      <c r="P4" s="7" t="n">
        <v>133.4409688159988</v>
      </c>
      <c r="Q4" s="7" t="inlineStr">
        <is>
          <t>agg</t>
        </is>
      </c>
      <c r="R4" s="7" t="inlineStr">
        <is>
          <t>recommend</t>
        </is>
      </c>
      <c r="S4" s="7" t="inlineStr">
        <is>
          <t>2026-10-02T09:19:04.023Z</t>
        </is>
      </c>
    </row>
    <row r="5">
      <c r="A5" s="7" t="inlineStr">
        <is>
          <t>Qwen/Qwen3-32B</t>
        </is>
      </c>
      <c r="B5" s="7" t="n"/>
      <c r="C5" s="7" t="n"/>
      <c r="D5" s="7" t="n"/>
      <c r="E5" s="7" t="inlineStr">
        <is>
          <t>NVIDIA B300 SXM6 AC</t>
        </is>
      </c>
      <c r="F5" s="7" t="n">
        <v>1</v>
      </c>
      <c r="G5" s="7" t="n">
        <v>1</v>
      </c>
      <c r="H5" s="7" t="n">
        <v>1</v>
      </c>
      <c r="I5" s="7" t="n">
        <v>1</v>
      </c>
      <c r="J5" s="7" t="n">
        <v>61.02294921875</v>
      </c>
      <c r="K5" s="7" t="n">
        <v>182.2180664055049</v>
      </c>
      <c r="L5" s="7" t="n">
        <v>1</v>
      </c>
      <c r="M5" s="7" t="n">
        <v>95.37351400000003</v>
      </c>
      <c r="N5" s="7" t="n">
        <v>14.29577330708661</v>
      </c>
      <c r="O5" s="7" t="n">
        <v>66.98285630937512</v>
      </c>
      <c r="P5" s="7" t="n">
        <v>69.9507454771452</v>
      </c>
      <c r="Q5" s="7" t="inlineStr">
        <is>
          <t>agg</t>
        </is>
      </c>
      <c r="R5" s="7" t="inlineStr">
        <is>
          <t>recommend</t>
        </is>
      </c>
      <c r="S5" s="7" t="inlineStr">
        <is>
          <t>2026-10-02T10:41:49.611Z</t>
        </is>
      </c>
    </row>
    <row r="6">
      <c r="A6" s="7" t="inlineStr">
        <is>
          <t>RedHatAI/gemma-4-26B-A4B-it-FP8-dynamic</t>
        </is>
      </c>
      <c r="B6" s="7" t="n"/>
      <c r="C6" s="7" t="n"/>
      <c r="D6" s="7" t="n"/>
      <c r="E6" s="7" t="inlineStr">
        <is>
          <t>NVIDIA B300 SXM6 AC</t>
        </is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48.37408447265625</v>
      </c>
      <c r="K6" s="7" t="n">
        <v>194.6843139640987</v>
      </c>
      <c r="L6" s="7" t="n">
        <v>1</v>
      </c>
      <c r="M6" s="7" t="n">
        <v>26.203096</v>
      </c>
      <c r="N6" s="7" t="n">
        <v>3.576719259842519</v>
      </c>
      <c r="O6" s="7" t="n">
        <v>266.4188738023791</v>
      </c>
      <c r="P6" s="7" t="n">
        <v>279.5858239294803</v>
      </c>
      <c r="Q6" s="7" t="inlineStr">
        <is>
          <t>agg</t>
        </is>
      </c>
      <c r="R6" s="7" t="inlineStr">
        <is>
          <t>recommend</t>
        </is>
      </c>
      <c r="S6" s="7" t="inlineStr">
        <is>
          <t>2026-10-02T10:42:11.121Z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60" customWidth="1" min="3" max="3"/>
    <col width="14" customWidth="1" min="4" max="4"/>
    <col width="10" customWidth="1" min="5" max="5"/>
  </cols>
  <sheetData>
    <row r="1" ht="24" customHeight="1">
      <c r="A1" s="1" t="inlineStr">
        <is>
          <t>RHOAI sizing approximation — Meridian Trust Bank</t>
        </is>
      </c>
    </row>
    <row r="2">
      <c r="A2" s="3" t="inlineStr">
        <is>
          <t>Low: Low end of concurrent user range. High: High end of concurrent user range. Stress: Maximum concurrent users (see Workload Sizing sheet for the methodology).</t>
        </is>
      </c>
    </row>
    <row r="4">
      <c r="A4" s="4" t="inlineStr">
        <is>
          <t>A. Headline numbers by scenario</t>
        </is>
      </c>
    </row>
    <row r="5">
      <c r="A5" s="6" t="inlineStr">
        <is>
          <t>Metric</t>
        </is>
      </c>
      <c r="B5" s="6" t="inlineStr">
        <is>
          <t>Low</t>
        </is>
      </c>
      <c r="C5" s="6" t="inlineStr">
        <is>
          <t>High</t>
        </is>
      </c>
      <c r="D5" s="6" t="inlineStr">
        <is>
          <t>Stress</t>
        </is>
      </c>
      <c r="E5" s="6" t="inlineStr">
        <is>
          <t>Unit</t>
        </is>
      </c>
    </row>
    <row r="6">
      <c r="A6" s="8" t="inlineStr">
        <is>
          <t>Total GPUs required</t>
        </is>
      </c>
      <c r="B6" s="8">
        <f>SUM('GPU Performance'!D4:'GPU Performance'!D4)</f>
        <v/>
      </c>
      <c r="C6" s="8">
        <f>SUM('GPU Performance'!E4:'GPU Performance'!E4)</f>
        <v/>
      </c>
      <c r="D6" s="8">
        <f>SUM('GPU Performance'!F4:'GPU Performance'!F4)</f>
        <v/>
      </c>
      <c r="E6" s="8" t="inlineStr">
        <is>
          <t>GPUs</t>
        </is>
      </c>
    </row>
    <row r="7">
      <c r="A7" s="8" t="inlineStr">
        <is>
          <t>Total cluster nodes</t>
        </is>
      </c>
      <c r="B7" s="8">
        <f>'Cluster Requirements'!B31</f>
        <v/>
      </c>
      <c r="C7" s="8">
        <f>'Cluster Requirements'!B32</f>
        <v/>
      </c>
      <c r="D7" s="8">
        <f>'Cluster Requirements'!B33</f>
        <v/>
      </c>
      <c r="E7" s="8" t="inlineStr">
        <is>
          <t>nodes</t>
        </is>
      </c>
    </row>
    <row r="8">
      <c r="A8" s="8" t="inlineStr">
        <is>
          <t>CPU worker nodes</t>
        </is>
      </c>
      <c r="B8" s="8">
        <f>'Cluster Architecture'!B37</f>
        <v/>
      </c>
      <c r="C8" s="8">
        <f>'Cluster Architecture'!B37</f>
        <v/>
      </c>
      <c r="D8" s="8">
        <f>'Cluster Architecture'!B37</f>
        <v/>
      </c>
      <c r="E8" s="8" t="inlineStr">
        <is>
          <t>nodes</t>
        </is>
      </c>
    </row>
    <row r="9">
      <c r="A9" s="8" t="inlineStr">
        <is>
          <t>Red Hat AI Enterprise subscriptions</t>
        </is>
      </c>
      <c r="B9" s="8">
        <f>'Cluster Architecture'!B37+SUM('GPU Performance'!G4:'GPU Performance'!G4)</f>
        <v/>
      </c>
      <c r="C9" s="8">
        <f>'Cluster Architecture'!B37+SUM('GPU Performance'!H4:'GPU Performance'!H4)</f>
        <v/>
      </c>
      <c r="D9" s="8">
        <f>'Cluster Architecture'!B37+SUM('GPU Performance'!I4:'GPU Performance'!I4)</f>
        <v/>
      </c>
      <c r="E9" s="8" t="inlineStr">
        <is>
          <t>nodes</t>
        </is>
      </c>
    </row>
    <row r="11">
      <c r="A11" s="4" t="inlineStr">
        <is>
          <t>B. Customer &amp; deployment</t>
        </is>
      </c>
    </row>
    <row r="12">
      <c r="A12" s="9" t="inlineStr">
        <is>
          <t>Customer</t>
        </is>
      </c>
      <c r="B12" s="10">
        <f>'Inputs'!B4</f>
        <v/>
      </c>
    </row>
    <row r="13">
      <c r="A13" s="9" t="inlineStr">
        <is>
          <t>Project</t>
        </is>
      </c>
      <c r="B13" s="10">
        <f>'Inputs'!B5</f>
        <v/>
      </c>
    </row>
    <row r="14">
      <c r="A14" s="9" t="inlineStr">
        <is>
          <t>Deployment type</t>
        </is>
      </c>
      <c r="B14" s="10">
        <f>'Inputs'!B6</f>
        <v/>
      </c>
    </row>
    <row r="15">
      <c r="A15" s="9" t="inlineStr">
        <is>
          <t>OpenShift version</t>
        </is>
      </c>
      <c r="B15" s="10">
        <f>'Inputs'!B7</f>
        <v/>
      </c>
    </row>
    <row r="16">
      <c r="A16" s="9" t="inlineStr">
        <is>
          <t>Connectivity</t>
        </is>
      </c>
      <c r="B16" s="10">
        <f>'Inputs'!B8</f>
        <v/>
      </c>
    </row>
    <row r="17">
      <c r="A17" s="9" t="inlineStr">
        <is>
          <t>Target</t>
        </is>
      </c>
      <c r="B17" s="10">
        <f>'Inputs'!B9</f>
        <v/>
      </c>
    </row>
    <row r="18">
      <c r="A18" s="9" t="inlineStr">
        <is>
          <t>Planning horizon (years)</t>
        </is>
      </c>
      <c r="B18" s="10">
        <f>'Inputs'!B10</f>
        <v/>
      </c>
    </row>
    <row r="19">
      <c r="A19" s="9" t="inlineStr">
        <is>
          <t>Annual growth rate</t>
        </is>
      </c>
      <c r="B19" s="10">
        <f>'Inputs'!B11</f>
        <v/>
      </c>
    </row>
    <row r="21">
      <c r="A21" s="4" t="inlineStr">
        <is>
          <t>C. Storage totals</t>
        </is>
      </c>
    </row>
    <row r="22">
      <c r="A22" t="inlineStr">
        <is>
          <t>Object storage</t>
        </is>
      </c>
      <c r="B22" s="10">
        <f>'Cluster Architecture'!B50</f>
        <v/>
      </c>
      <c r="C22" t="inlineStr">
        <is>
          <t>GiB</t>
        </is>
      </c>
    </row>
    <row r="23">
      <c r="A23" t="inlineStr">
        <is>
          <t>Block storage</t>
        </is>
      </c>
      <c r="B23" s="10">
        <f>'Cluster Architecture'!B51</f>
        <v/>
      </c>
      <c r="C23" t="inlineStr">
        <is>
          <t>GiB</t>
        </is>
      </c>
    </row>
    <row r="24">
      <c r="A24" t="inlineStr">
        <is>
          <t>GPU-node local NVMe</t>
        </is>
      </c>
      <c r="B24" s="10">
        <f>'Cluster Architecture'!B52</f>
        <v/>
      </c>
      <c r="C24" t="inlineStr">
        <is>
          <t>GB</t>
        </is>
      </c>
    </row>
    <row r="26">
      <c r="A26" s="4" t="inlineStr">
        <is>
          <t>D. Checks before you quote</t>
        </is>
      </c>
    </row>
    <row r="27">
      <c r="A27" s="6" t="inlineStr">
        <is>
          <t>Status</t>
        </is>
      </c>
      <c r="B27" s="6" t="inlineStr">
        <is>
          <t>Check</t>
        </is>
      </c>
      <c r="C27" s="6" t="inlineStr">
        <is>
          <t>Detail</t>
        </is>
      </c>
    </row>
    <row r="28">
      <c r="A28" s="11" t="inlineStr">
        <is>
          <t>WARN</t>
        </is>
      </c>
      <c r="B28" s="11" t="inlineStr">
        <is>
          <t>Use cases not mapped to a sized model</t>
        </is>
      </c>
      <c r="C28" s="11" t="inlineStr">
        <is>
          <t>2 use case(s) are excluded from GPU sizing because they aren't mapped to a model in Step 3: Customer support chatbot, Compliance document reviewer. Map them to a sized model or they won't be counted.</t>
        </is>
      </c>
    </row>
    <row r="29">
      <c r="A29" s="8">
        <f>IF(AND('Models'!L5&lt;=2,'Workload Sizing'!F19&gt;=5),"WARN","OK")</f>
        <v/>
      </c>
      <c r="B29" s="8" t="inlineStr">
        <is>
          <t>Qwen/Qwen3-32B: replica count vs. captured per-replica concurrency</t>
        </is>
      </c>
      <c r="C29" s="8">
        <f>IF(AND('Models'!L5&lt;=2,'Workload Sizing'!F19&gt;=5),"Captured per-replica concurrency is only "&amp;'Models'!L5&amp;" (from Step 2 Target concurrency), driving "&amp;'Workload Sizing'!F19&amp;" replicas at High demand. If one replica can realistically serve more than "&amp;'Models'!L5&amp;" request(s) at once, raise Target concurrency in Step 2 to that batch size and re-add the model.","Replica count looks consistent with its captured per-replica concurrency.")</f>
        <v/>
      </c>
    </row>
    <row r="30">
      <c r="A30" s="12" t="inlineStr">
        <is>
          <t>OK</t>
        </is>
      </c>
      <c r="B30" s="12" t="inlineStr">
        <is>
          <t>NVIDIA B300 SXM6 AC host RAM rule (&gt;= host RAM multiplier × total GPU memory per node)</t>
        </is>
      </c>
      <c r="C30" s="12">
        <f>"Plan for &gt;= "&amp;('Reference'!B60*'GPU Performance'!B4*'GPU Performance'!C4)&amp;" GiB host RAM per NVIDIA B300 SXM6 AC node ("&amp;'GPU Performance'!C4&amp;" GPUs x "&amp;'GPU Performance'!B4&amp;" GB x "&amp;'Reference'!B60&amp;")."</f>
        <v/>
      </c>
    </row>
    <row r="31">
      <c r="A31" s="12" t="inlineStr">
        <is>
          <t>OK</t>
        </is>
      </c>
      <c r="B31" s="12" t="inlineStr">
        <is>
          <t>NVIDIA B300 SXM6 AC physical cores rule</t>
        </is>
      </c>
      <c r="C31" s="12">
        <f>"Plan for &gt;= "&amp;'Reference'!B61&amp;" physical cores per GPU (NVIDIA-Certified floor), &gt;= "&amp;'Reference'!B62&amp;" recommended."</f>
        <v/>
      </c>
    </row>
    <row r="32">
      <c r="A32" s="8">
        <f>IF('Cluster Architecture'!B37&gt;='Reference'!B39,"OK","WARN")</f>
        <v/>
      </c>
      <c r="B32" s="8" t="inlineStr">
        <is>
          <t>CPU worker node minimum (RHOAI install requirement)</t>
        </is>
      </c>
      <c r="C32" s="8">
        <f>'Cluster Architecture'!B37&amp;" CPU worker node(s) planned; RHOAI requires &gt;= "&amp;'Reference'!B39&amp;" workers at &gt;= "&amp;'Reference'!B40&amp;" vCPU / "&amp;'Reference'!B41&amp;" GiB each."</f>
        <v/>
      </c>
    </row>
    <row r="33">
      <c r="A33" s="8">
        <f>IF('Cluster Architecture'!B37&gt;1,"OK","WARN")</f>
        <v/>
      </c>
      <c r="B33" s="8" t="inlineStr">
        <is>
          <t>N-1 capacity (one CPU worker node can fail)</t>
        </is>
      </c>
      <c r="C33" s="8">
        <f>IF('Cluster Architecture'!B37&gt;1,('Cluster Architecture'!B37-1)&amp;" node(s) of capacity still covers CPU demand if sized with headroom.","Only one CPU worker node planned — no failure tolerance. Add a second node for production.")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Meridian Trust Bank — use cases, models and GPU demand</t>
        </is>
      </c>
    </row>
    <row r="3">
      <c r="A3" s="4" t="inlineStr">
        <is>
          <t>A. Model deployments (from ConfigIQ Step 2 — see Models sheet)</t>
        </is>
      </c>
    </row>
    <row r="4">
      <c r="A4" s="6" t="inlineStr">
        <is>
          <t>Model</t>
        </is>
      </c>
      <c r="B4" s="6" t="inlineStr">
        <is>
          <t>GPU</t>
        </is>
      </c>
      <c r="C4" s="6" t="inlineStr">
        <is>
          <t>GPUs/replica</t>
        </is>
      </c>
      <c r="D4" s="6" t="inlineStr">
        <is>
          <t>TP size</t>
        </is>
      </c>
      <c r="E4" s="6" t="inlineStr">
        <is>
          <t>Weights (GB)</t>
        </is>
      </c>
      <c r="F4" s="6" t="inlineStr">
        <is>
          <t>KV cache/1K tok (GB)</t>
        </is>
      </c>
      <c r="G4" s="6" t="inlineStr">
        <is>
          <t>Max concurrent/replica</t>
        </is>
      </c>
      <c r="H4" s="6" t="inlineStr">
        <is>
          <t>TTFT est. (ms)</t>
        </is>
      </c>
      <c r="I4" s="6" t="inlineStr">
        <is>
          <t>Tokens/s</t>
        </is>
      </c>
      <c r="J4" s="6" t="inlineStr">
        <is>
          <t>Precision</t>
        </is>
      </c>
    </row>
    <row r="5">
      <c r="A5" s="13">
        <f>'Models'!A4</f>
        <v/>
      </c>
      <c r="B5" s="13">
        <f>'Models'!E4</f>
        <v/>
      </c>
      <c r="C5" s="13">
        <f>'Models'!F4</f>
        <v/>
      </c>
      <c r="D5" s="13">
        <f>'Models'!G4</f>
        <v/>
      </c>
      <c r="E5" s="13">
        <f>'Models'!J4</f>
        <v/>
      </c>
      <c r="F5" s="13">
        <f>'Models'!K4</f>
        <v/>
      </c>
      <c r="G5" s="13">
        <f>'Models'!L4</f>
        <v/>
      </c>
      <c r="H5" s="13">
        <f>'Models'!M4</f>
        <v/>
      </c>
      <c r="I5" s="13">
        <f>'Models'!O4</f>
        <v/>
      </c>
      <c r="J5" s="13">
        <f>'Models'!D4</f>
        <v/>
      </c>
    </row>
    <row r="6">
      <c r="A6" s="13">
        <f>'Models'!A5</f>
        <v/>
      </c>
      <c r="B6" s="13">
        <f>'Models'!E5</f>
        <v/>
      </c>
      <c r="C6" s="13">
        <f>'Models'!F5</f>
        <v/>
      </c>
      <c r="D6" s="13">
        <f>'Models'!G5</f>
        <v/>
      </c>
      <c r="E6" s="13">
        <f>'Models'!J5</f>
        <v/>
      </c>
      <c r="F6" s="13">
        <f>'Models'!K5</f>
        <v/>
      </c>
      <c r="G6" s="13">
        <f>'Models'!L5</f>
        <v/>
      </c>
      <c r="H6" s="13">
        <f>'Models'!M5</f>
        <v/>
      </c>
      <c r="I6" s="13">
        <f>'Models'!O5</f>
        <v/>
      </c>
      <c r="J6" s="13">
        <f>'Models'!D5</f>
        <v/>
      </c>
    </row>
    <row r="7">
      <c r="A7" s="13">
        <f>'Models'!A6</f>
        <v/>
      </c>
      <c r="B7" s="13">
        <f>'Models'!E6</f>
        <v/>
      </c>
      <c r="C7" s="13">
        <f>'Models'!F6</f>
        <v/>
      </c>
      <c r="D7" s="13">
        <f>'Models'!G6</f>
        <v/>
      </c>
      <c r="E7" s="13">
        <f>'Models'!J6</f>
        <v/>
      </c>
      <c r="F7" s="13">
        <f>'Models'!K6</f>
        <v/>
      </c>
      <c r="G7" s="13">
        <f>'Models'!L6</f>
        <v/>
      </c>
      <c r="H7" s="13">
        <f>'Models'!M6</f>
        <v/>
      </c>
      <c r="I7" s="13">
        <f>'Models'!O6</f>
        <v/>
      </c>
      <c r="J7" s="13">
        <f>'Models'!D6</f>
        <v/>
      </c>
    </row>
    <row r="9">
      <c r="A9" s="4" t="inlineStr">
        <is>
          <t>B. Use cases — edit values on the Inputs sheet, section F</t>
        </is>
      </c>
    </row>
    <row r="10">
      <c r="A10" s="6" t="inlineStr">
        <is>
          <t>Use case</t>
        </is>
      </c>
      <c r="B10" s="6" t="inlineStr">
        <is>
          <t>Served by model</t>
        </is>
      </c>
      <c r="C10" s="6" t="inlineStr">
        <is>
          <t>Users — Low</t>
        </is>
      </c>
      <c r="D10" s="6" t="inlineStr">
        <is>
          <t>Users — High</t>
        </is>
      </c>
      <c r="E10" s="6" t="inlineStr">
        <is>
          <t>Share in flight</t>
        </is>
      </c>
      <c r="F10" s="6" t="inlineStr">
        <is>
          <t>Input tokens</t>
        </is>
      </c>
      <c r="G10" s="6" t="inlineStr">
        <is>
          <t>Output tokens</t>
        </is>
      </c>
      <c r="H10" s="6" t="inlineStr">
        <is>
          <t>Prefix cache hit rate</t>
        </is>
      </c>
      <c r="I10" s="6" t="inlineStr">
        <is>
          <t>TTFT target (s)</t>
        </is>
      </c>
      <c r="J10" s="6" t="inlineStr">
        <is>
          <t>Tokens/s target</t>
        </is>
      </c>
      <c r="K10" s="6" t="inlineStr">
        <is>
          <t>Guard screened</t>
        </is>
      </c>
      <c r="L10" s="6" t="inlineStr">
        <is>
          <t>Notes</t>
        </is>
      </c>
    </row>
    <row r="11">
      <c r="A11" s="13">
        <f>'Inputs'!A66</f>
        <v/>
      </c>
      <c r="B11" s="13">
        <f>'Inputs'!B66</f>
        <v/>
      </c>
      <c r="C11" s="13">
        <f>'Inputs'!C66</f>
        <v/>
      </c>
      <c r="D11" s="13">
        <f>'Inputs'!D66</f>
        <v/>
      </c>
      <c r="E11" s="13">
        <f>'Inputs'!E66</f>
        <v/>
      </c>
      <c r="F11" s="13">
        <f>'Inputs'!F66</f>
        <v/>
      </c>
      <c r="G11" s="13">
        <f>'Inputs'!G66</f>
        <v/>
      </c>
      <c r="H11" s="13">
        <f>'Inputs'!H66</f>
        <v/>
      </c>
      <c r="I11" s="13">
        <f>'Inputs'!I66</f>
        <v/>
      </c>
      <c r="J11" s="13">
        <f>'Inputs'!J66</f>
        <v/>
      </c>
      <c r="K11" s="13">
        <f>'Inputs'!K66</f>
        <v/>
      </c>
      <c r="L11" s="13">
        <f>'Inputs'!M66</f>
        <v/>
      </c>
    </row>
    <row r="12">
      <c r="A12" s="13">
        <f>'Inputs'!A67</f>
        <v/>
      </c>
      <c r="B12" s="13">
        <f>'Inputs'!B67</f>
        <v/>
      </c>
      <c r="C12" s="13">
        <f>'Inputs'!C67</f>
        <v/>
      </c>
      <c r="D12" s="13">
        <f>'Inputs'!D67</f>
        <v/>
      </c>
      <c r="E12" s="13">
        <f>'Inputs'!E67</f>
        <v/>
      </c>
      <c r="F12" s="13">
        <f>'Inputs'!F67</f>
        <v/>
      </c>
      <c r="G12" s="13">
        <f>'Inputs'!G67</f>
        <v/>
      </c>
      <c r="H12" s="13">
        <f>'Inputs'!H67</f>
        <v/>
      </c>
      <c r="I12" s="13">
        <f>'Inputs'!I67</f>
        <v/>
      </c>
      <c r="J12" s="13">
        <f>'Inputs'!J67</f>
        <v/>
      </c>
      <c r="K12" s="13">
        <f>'Inputs'!K67</f>
        <v/>
      </c>
      <c r="L12" s="13">
        <f>'Inputs'!M67</f>
        <v/>
      </c>
    </row>
    <row r="13">
      <c r="A13" s="13">
        <f>'Inputs'!A68</f>
        <v/>
      </c>
      <c r="B13" s="13">
        <f>'Inputs'!B68</f>
        <v/>
      </c>
      <c r="C13" s="13">
        <f>'Inputs'!C68</f>
        <v/>
      </c>
      <c r="D13" s="13">
        <f>'Inputs'!D68</f>
        <v/>
      </c>
      <c r="E13" s="13">
        <f>'Inputs'!E68</f>
        <v/>
      </c>
      <c r="F13" s="13">
        <f>'Inputs'!F68</f>
        <v/>
      </c>
      <c r="G13" s="13">
        <f>'Inputs'!G68</f>
        <v/>
      </c>
      <c r="H13" s="13">
        <f>'Inputs'!H68</f>
        <v/>
      </c>
      <c r="I13" s="13">
        <f>'Inputs'!I68</f>
        <v/>
      </c>
      <c r="J13" s="13">
        <f>'Inputs'!J68</f>
        <v/>
      </c>
      <c r="K13" s="13">
        <f>'Inputs'!K68</f>
        <v/>
      </c>
      <c r="L13" s="13">
        <f>'Inputs'!M68</f>
        <v/>
      </c>
    </row>
    <row r="15">
      <c r="A15" s="4" t="inlineStr">
        <is>
          <t>C. Load per model deployment (Low / High / Stress)</t>
        </is>
      </c>
    </row>
    <row r="16" ht="30" customHeight="1">
      <c r="A16" s="14" t="inlineStr">
        <is>
          <t>Stress methodology: every High-estimate user is treated as having a request in flight at once (ignores Share in flight — that factor is used only for the Low/High columns). Click a Stress cell below vs. a Low/High cell in the same row to see the formula difference.</t>
        </is>
      </c>
    </row>
    <row r="17">
      <c r="A17" s="6" t="inlineStr">
        <is>
          <t>Model</t>
        </is>
      </c>
      <c r="B17" s="6" t="inlineStr">
        <is>
          <t>Requests in flight — Low</t>
        </is>
      </c>
      <c r="C17" s="6" t="inlineStr">
        <is>
          <t>Requests in flight — High</t>
        </is>
      </c>
      <c r="D17" s="6" t="inlineStr">
        <is>
          <t>Requests in flight — Stress</t>
        </is>
      </c>
      <c r="E17" s="6" t="inlineStr">
        <is>
          <t>Replicas — Low</t>
        </is>
      </c>
      <c r="F17" s="6" t="inlineStr">
        <is>
          <t>Replicas — High</t>
        </is>
      </c>
      <c r="G17" s="6" t="inlineStr">
        <is>
          <t>Replicas — Stress</t>
        </is>
      </c>
      <c r="H17" s="6" t="inlineStr">
        <is>
          <t>GPUs — Low</t>
        </is>
      </c>
      <c r="I17" s="6" t="inlineStr">
        <is>
          <t>GPUs — High</t>
        </is>
      </c>
      <c r="J17" s="6" t="inlineStr">
        <is>
          <t>GPUs — Stress</t>
        </is>
      </c>
    </row>
    <row r="18">
      <c r="A18" s="8">
        <f>'Models'!A4</f>
        <v/>
      </c>
      <c r="B18" s="8" t="n">
        <v>0</v>
      </c>
      <c r="C18" s="8" t="n">
        <v>0</v>
      </c>
      <c r="D18" s="8" t="n">
        <v>0</v>
      </c>
      <c r="E18" s="8">
        <f>'Models'!H4</f>
        <v/>
      </c>
      <c r="F18" s="8">
        <f>'Models'!H4</f>
        <v/>
      </c>
      <c r="G18" s="8">
        <f>'Models'!H4</f>
        <v/>
      </c>
      <c r="H18" s="8">
        <f>'Models'!I4</f>
        <v/>
      </c>
      <c r="I18" s="8">
        <f>'Models'!I4</f>
        <v/>
      </c>
      <c r="J18" s="8">
        <f>'Models'!I4</f>
        <v/>
      </c>
    </row>
    <row r="19">
      <c r="A19" s="8">
        <f>'Models'!A5</f>
        <v/>
      </c>
      <c r="B19" s="8">
        <f>'Inputs'!C66*'Inputs'!E66</f>
        <v/>
      </c>
      <c r="C19" s="8">
        <f>'Inputs'!D66*'Inputs'!E66</f>
        <v/>
      </c>
      <c r="D19" s="8">
        <f>'Inputs'!D66</f>
        <v/>
      </c>
      <c r="E19" s="8">
        <f>MAX('Models'!H5,ROUNDUP(B19/MAX(1,'Models'!L5),0))</f>
        <v/>
      </c>
      <c r="F19" s="8">
        <f>MAX('Models'!H5,ROUNDUP(C19/MAX(1,'Models'!L5),0))</f>
        <v/>
      </c>
      <c r="G19" s="8">
        <f>MAX('Models'!H5,ROUNDUP(D19/MAX(1,'Models'!L5),0))</f>
        <v/>
      </c>
      <c r="H19" s="8">
        <f>E19*'Models'!F5</f>
        <v/>
      </c>
      <c r="I19" s="8">
        <f>F19*'Models'!F5</f>
        <v/>
      </c>
      <c r="J19" s="8">
        <f>G19*'Models'!F5</f>
        <v/>
      </c>
    </row>
    <row r="20">
      <c r="A20" s="8">
        <f>'Models'!A6</f>
        <v/>
      </c>
      <c r="B20" s="8" t="n">
        <v>0</v>
      </c>
      <c r="C20" s="8" t="n">
        <v>0</v>
      </c>
      <c r="D20" s="8" t="n">
        <v>0</v>
      </c>
      <c r="E20" s="8">
        <f>'Models'!H6</f>
        <v/>
      </c>
      <c r="F20" s="8">
        <f>'Models'!H6</f>
        <v/>
      </c>
      <c r="G20" s="8">
        <f>'Models'!H6</f>
        <v/>
      </c>
      <c r="H20" s="8">
        <f>'Models'!I6</f>
        <v/>
      </c>
      <c r="I20" s="8">
        <f>'Models'!I6</f>
        <v/>
      </c>
      <c r="J20" s="8">
        <f>'Models'!I6</f>
        <v/>
      </c>
    </row>
  </sheetData>
  <mergeCells count="2">
    <mergeCell ref="A1:J1"/>
    <mergeCell ref="A16:J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4" customHeight="1">
      <c r="A1" s="1" t="inlineStr">
        <is>
          <t>GPU performance and node demand by GPU type</t>
        </is>
      </c>
    </row>
    <row r="3">
      <c r="A3" s="6" t="inlineStr">
        <is>
          <t>GPU</t>
        </is>
      </c>
      <c r="B3" s="6" t="inlineStr">
        <is>
          <t>GPU memory (GB)</t>
        </is>
      </c>
      <c r="C3" s="6" t="inlineStr">
        <is>
          <t>GPUs/node</t>
        </is>
      </c>
      <c r="D3" s="6" t="inlineStr">
        <is>
          <t>GPUs required — Low</t>
        </is>
      </c>
      <c r="E3" s="6" t="inlineStr">
        <is>
          <t>GPUs required — High</t>
        </is>
      </c>
      <c r="F3" s="6" t="inlineStr">
        <is>
          <t>GPUs required — Stress</t>
        </is>
      </c>
      <c r="G3" s="6" t="inlineStr">
        <is>
          <t>Nodes required — Low</t>
        </is>
      </c>
      <c r="H3" s="6" t="inlineStr">
        <is>
          <t>Nodes required — High</t>
        </is>
      </c>
      <c r="I3" s="6" t="inlineStr">
        <is>
          <t>Nodes required — Stress</t>
        </is>
      </c>
    </row>
    <row r="4">
      <c r="A4" s="8" t="inlineStr">
        <is>
          <t>NVIDIA B300 SXM6 AC</t>
        </is>
      </c>
      <c r="B4" s="8">
        <f>'Reference'!B5</f>
        <v/>
      </c>
      <c r="C4" s="8" t="n">
        <v>8</v>
      </c>
      <c r="D4" s="8">
        <f>'Workload Sizing'!H18+'Workload Sizing'!H19+'Workload Sizing'!H20</f>
        <v/>
      </c>
      <c r="E4" s="8">
        <f>'Workload Sizing'!I18+'Workload Sizing'!I19+'Workload Sizing'!I20</f>
        <v/>
      </c>
      <c r="F4" s="8">
        <f>'Workload Sizing'!J18+'Workload Sizing'!J19+'Workload Sizing'!J20</f>
        <v/>
      </c>
      <c r="G4" s="8">
        <f>IF(D4=0,0,MAX(2,ROUNDUP(D4/C4,0)))</f>
        <v/>
      </c>
      <c r="H4" s="8">
        <f>IF(E4=0,0,MAX(2,ROUNDUP(E4/C4,0)))</f>
        <v/>
      </c>
      <c r="I4" s="8">
        <f>IF(F4=0,0,MAX(2,ROUNDUP(F4/C4,0)))</f>
        <v/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42" customWidth="1" min="4" max="4"/>
  </cols>
  <sheetData>
    <row r="1" ht="24" customHeight="1">
      <c r="A1" s="1" t="inlineStr">
        <is>
          <t>Meridian Trust Bank — target cluster architecture</t>
        </is>
      </c>
    </row>
    <row r="3">
      <c r="A3" s="4" t="inlineStr">
        <is>
          <t>A. Non-GPU platform overhead build-up (Table D)</t>
        </is>
      </c>
    </row>
    <row r="4">
      <c r="A4" s="3" t="inlineStr">
        <is>
          <t>Each row is gated on whether its parent component is enabled on the Inputs sheet (section D) — toggle a component there and this table recalculates.</t>
        </is>
      </c>
    </row>
    <row r="5">
      <c r="A5" s="6" t="inlineStr">
        <is>
          <t>Line item</t>
        </is>
      </c>
      <c r="B5" s="6" t="inlineStr">
        <is>
          <t>Applies?</t>
        </is>
      </c>
      <c r="C5" s="6" t="inlineStr">
        <is>
          <t>vCPU</t>
        </is>
      </c>
      <c r="D5" s="6" t="inlineStr">
        <is>
          <t>RAM (GiB)</t>
        </is>
      </c>
    </row>
    <row r="6">
      <c r="A6" s="8">
        <f>'Reference'!B26</f>
        <v/>
      </c>
      <c r="B6" s="8">
        <f>TRUE</f>
        <v/>
      </c>
      <c r="C6" s="8">
        <f>IF(B6,'Reference'!C26,0)</f>
        <v/>
      </c>
      <c r="D6" s="8">
        <f>IF(B6,'Reference'!D26,0)</f>
        <v/>
      </c>
    </row>
    <row r="7">
      <c r="A7" s="8">
        <f>'Reference'!B27</f>
        <v/>
      </c>
      <c r="B7" s="8">
        <f>TRUE</f>
        <v/>
      </c>
      <c r="C7" s="8">
        <f>IF(B7,'Reference'!C27,0)</f>
        <v/>
      </c>
      <c r="D7" s="8">
        <f>IF(B7,'Reference'!D27,0)</f>
        <v/>
      </c>
    </row>
    <row r="8">
      <c r="A8" s="8">
        <f>'Reference'!B28</f>
        <v/>
      </c>
      <c r="B8" s="8">
        <f>OR(SUM(Inputs!C19:C20)&gt;0,3&gt;0)</f>
        <v/>
      </c>
      <c r="C8" s="8">
        <f>IF(B8,'Reference'!C28,0)</f>
        <v/>
      </c>
      <c r="D8" s="8">
        <f>IF(B8,'Reference'!D28,0)</f>
        <v/>
      </c>
    </row>
    <row r="9">
      <c r="A9" s="8">
        <f>'Reference'!B29</f>
        <v/>
      </c>
      <c r="B9" s="8">
        <f>OR('Inputs'!B42,'Inputs'!B48,'Inputs'!B50)</f>
        <v/>
      </c>
      <c r="C9" s="8">
        <f>IF(B9,'Reference'!C29,0)</f>
        <v/>
      </c>
      <c r="D9" s="8">
        <f>IF(B9,'Reference'!D29,0)</f>
        <v/>
      </c>
    </row>
    <row r="10">
      <c r="A10" s="8">
        <f>'Reference'!B30</f>
        <v/>
      </c>
      <c r="B10" s="8">
        <f>OR('Inputs'!B40)</f>
        <v/>
      </c>
      <c r="C10" s="8">
        <f>ROUND(IF(B10,'Reference'!C30+MAX(0,'Inputs'!B29-1)*1,0),2)</f>
        <v/>
      </c>
      <c r="D10" s="8">
        <f>ROUND(IF(B10,'Reference'!D30+MAX(0,'Inputs'!B29-1)*3,0),2)</f>
        <v/>
      </c>
    </row>
    <row r="11">
      <c r="A11" s="8">
        <f>'Reference'!B31</f>
        <v/>
      </c>
      <c r="B11" s="8">
        <f>OR('Inputs'!B41)</f>
        <v/>
      </c>
      <c r="C11" s="8">
        <f>IF(B11,'Reference'!C31,0)</f>
        <v/>
      </c>
      <c r="D11" s="8">
        <f>IF(B11,'Reference'!D31,0)</f>
        <v/>
      </c>
    </row>
    <row r="12">
      <c r="A12" s="8">
        <f>'Reference'!B32</f>
        <v/>
      </c>
      <c r="B12" s="8">
        <f>OR('Inputs'!B43)</f>
        <v/>
      </c>
      <c r="C12" s="8">
        <f>IF(B12,'Reference'!C32,0)</f>
        <v/>
      </c>
      <c r="D12" s="8">
        <f>IF(B12,'Reference'!D32,0)</f>
        <v/>
      </c>
    </row>
    <row r="13">
      <c r="A13" s="8">
        <f>'Reference'!B33</f>
        <v/>
      </c>
      <c r="B13" s="8">
        <f>OR('Inputs'!B41)</f>
        <v/>
      </c>
      <c r="C13" s="8">
        <f>IF(B13,'Reference'!C33,0)</f>
        <v/>
      </c>
      <c r="D13" s="8">
        <f>IF(B13,'Reference'!D33,0)</f>
        <v/>
      </c>
    </row>
    <row r="14">
      <c r="A14" s="15" t="inlineStr">
        <is>
          <t>Subtotal — platform overhead line items</t>
        </is>
      </c>
      <c r="B14" s="15" t="inlineStr"/>
      <c r="C14" s="15">
        <f>ROUND(SUM(C6:C13),2)</f>
        <v/>
      </c>
      <c r="D14" s="15">
        <f>ROUND(SUM(D6:D13),2)</f>
        <v/>
      </c>
    </row>
    <row r="16">
      <c r="A16" s="4" t="inlineStr">
        <is>
          <t>B. Dynamic non-GPU demand (scales with wizard inputs)</t>
        </is>
      </c>
    </row>
    <row r="17">
      <c r="A17" s="6" t="inlineStr">
        <is>
          <t>Item</t>
        </is>
      </c>
      <c r="B17" s="6" t="inlineStr">
        <is>
          <t>vCPU</t>
        </is>
      </c>
      <c r="C17" s="6" t="inlineStr">
        <is>
          <t>RAM (GiB)</t>
        </is>
      </c>
      <c r="D17" s="6" t="inlineStr">
        <is>
          <t>Basis</t>
        </is>
      </c>
    </row>
    <row r="18">
      <c r="A18" s="8" t="inlineStr">
        <is>
          <t>Distributed workloads controllers (Kueue/Ray/Trainer)</t>
        </is>
      </c>
      <c r="B18" s="8">
        <f>IF(OR('Inputs'!B43,'Inputs'!B44,'Inputs'!B45),'Reference'!B44,0)</f>
        <v/>
      </c>
      <c r="C18" s="8">
        <f>IF(OR('Inputs'!B43,'Inputs'!B44,'Inputs'!B45),'Reference'!B45,0)</f>
        <v/>
      </c>
      <c r="D18" s="8" t="inlineStr">
        <is>
          <t>On if Kueue, Ray, or Trainer is enabled</t>
        </is>
      </c>
    </row>
    <row r="19">
      <c r="A19" s="8" t="inlineStr">
        <is>
          <t>Workbenches (Medium profile, 8 vCPU / 16 GiB each)</t>
        </is>
      </c>
      <c r="B19" s="8">
        <f>'Inputs'!B24*8</f>
        <v/>
      </c>
      <c r="C19" s="8">
        <f>'Inputs'!B24*16</f>
        <v/>
      </c>
      <c r="D19" s="8" t="inlineStr">
        <is>
          <t>Concurrent workbenches × Medium profile</t>
        </is>
      </c>
    </row>
    <row r="20">
      <c r="A20" s="8" t="inlineStr">
        <is>
          <t>Training jobs (CPU-side footprint only; GPUs counted separately)</t>
        </is>
      </c>
      <c r="B20" s="8">
        <f>'Inputs'!B26*8</f>
        <v/>
      </c>
      <c r="C20" s="8">
        <f>'Inputs'!B26*64</f>
        <v/>
      </c>
      <c r="D20" s="8" t="inlineStr">
        <is>
          <t>Concurrent training jobs × LoRA-class footprint</t>
        </is>
      </c>
    </row>
    <row r="21">
      <c r="A21" s="8" t="inlineStr">
        <is>
          <t>Evaluation jobs</t>
        </is>
      </c>
      <c r="B21" s="8">
        <f>'Inputs'!B27*4</f>
        <v/>
      </c>
      <c r="C21" s="8">
        <f>'Inputs'!B27*16</f>
        <v/>
      </c>
      <c r="D21" s="8" t="inlineStr">
        <is>
          <t>Concurrent eval jobs</t>
        </is>
      </c>
    </row>
    <row r="22">
      <c r="A22" s="8" t="inlineStr">
        <is>
          <t>Vector DB instances</t>
        </is>
      </c>
      <c r="B22" s="8">
        <f>'Inputs'!B28*4</f>
        <v/>
      </c>
      <c r="C22" s="8">
        <f>'Inputs'!B28*16</f>
        <v/>
      </c>
      <c r="D22" s="8" t="inlineStr">
        <is>
          <t>Vector DB instances</t>
        </is>
      </c>
    </row>
    <row r="23">
      <c r="A23" s="8" t="inlineStr">
        <is>
          <t>Per-project: Pipeline server</t>
        </is>
      </c>
      <c r="B23" s="8">
        <f>ROUND(IF('Inputs'!B56,1*'Inputs'!B23*0.5,0),2)</f>
        <v/>
      </c>
      <c r="C23" s="8">
        <f>ROUND(IF('Inputs'!B56,1*'Inputs'!B23*1,0),2)</f>
        <v/>
      </c>
      <c r="D23" s="8" t="inlineStr">
        <is>
          <t>1/project × projects, if enabled</t>
        </is>
      </c>
    </row>
    <row r="24">
      <c r="A24" s="8" t="inlineStr">
        <is>
          <t>Per-project: MLflow server</t>
        </is>
      </c>
      <c r="B24" s="8">
        <f>ROUND(IF('Inputs'!B57,1*'Inputs'!B23*0.5,0),2)</f>
        <v/>
      </c>
      <c r="C24" s="8">
        <f>ROUND(IF('Inputs'!B57,1*'Inputs'!B23*1,0),2)</f>
        <v/>
      </c>
      <c r="D24" s="8" t="inlineStr">
        <is>
          <t>1/project × projects, if enabled</t>
        </is>
      </c>
    </row>
    <row r="25">
      <c r="A25" s="8" t="inlineStr">
        <is>
          <t>Per-project: OGX server</t>
        </is>
      </c>
      <c r="B25" s="8">
        <f>ROUND(IF('Inputs'!B58,1*'Inputs'!B23*0.25,0),2)</f>
        <v/>
      </c>
      <c r="C25" s="8">
        <f>ROUND(IF('Inputs'!B58,1*'Inputs'!B23*0.488,0),2)</f>
        <v/>
      </c>
      <c r="D25" s="8" t="inlineStr">
        <is>
          <t>1/project × projects, if enabled</t>
        </is>
      </c>
    </row>
    <row r="26">
      <c r="A26" s="8" t="inlineStr">
        <is>
          <t>Per-project: PostgreSQL for OGX</t>
        </is>
      </c>
      <c r="B26" s="8">
        <f>ROUND(IF('Inputs'!B59,1*'Inputs'!B23*0.5,0),2)</f>
        <v/>
      </c>
      <c r="C26" s="8">
        <f>ROUND(IF('Inputs'!B59,1*'Inputs'!B23*1,0),2)</f>
        <v/>
      </c>
      <c r="D26" s="8" t="inlineStr">
        <is>
          <t>1/project × projects, if enabled</t>
        </is>
      </c>
    </row>
    <row r="27">
      <c r="A27" s="8" t="inlineStr">
        <is>
          <t>Per-project: Model registry instance</t>
        </is>
      </c>
      <c r="B27" s="8">
        <f>ROUND(IF('Inputs'!B60,0.1*'Inputs'!B23*0.5,0),2)</f>
        <v/>
      </c>
      <c r="C27" s="8">
        <f>ROUND(IF('Inputs'!B60,0.1*'Inputs'!B23*1,0),2)</f>
        <v/>
      </c>
      <c r="D27" s="8" t="inlineStr">
        <is>
          <t>0.1/project × projects, if enabled</t>
        </is>
      </c>
    </row>
    <row r="28">
      <c r="A28" s="8" t="inlineStr">
        <is>
          <t>Per-project: TrustyAI / guardrails per project</t>
        </is>
      </c>
      <c r="B28" s="8">
        <f>ROUND(IF('Inputs'!B61,1*'Inputs'!B23*0.5,0),2)</f>
        <v/>
      </c>
      <c r="C28" s="8">
        <f>ROUND(IF('Inputs'!B61,1*'Inputs'!B23*1,0),2)</f>
        <v/>
      </c>
      <c r="D28" s="8" t="inlineStr">
        <is>
          <t>1/project × projects, if enabled</t>
        </is>
      </c>
    </row>
    <row r="29">
      <c r="A29" s="8" t="inlineStr">
        <is>
          <t>Per-project: EvalHub per-tenant instance</t>
        </is>
      </c>
      <c r="B29" s="8">
        <f>ROUND(IF('Inputs'!B62,1*'Inputs'!B23*0.5,0),2)</f>
        <v/>
      </c>
      <c r="C29" s="8">
        <f>ROUND(IF('Inputs'!B62,1*'Inputs'!B23*1,0),2)</f>
        <v/>
      </c>
      <c r="D29" s="8" t="inlineStr">
        <is>
          <t>1/project × projects, if enabled</t>
        </is>
      </c>
    </row>
    <row r="30">
      <c r="A30" s="8" t="inlineStr">
        <is>
          <t>Sized-model sidecars (oauth-proxy etc.)</t>
        </is>
      </c>
      <c r="B30" s="8">
        <f>ROUND(3*'Reference'!B48,2)</f>
        <v/>
      </c>
      <c r="C30" s="8">
        <f>ROUND(3*'Reference'!B49,2)</f>
        <v/>
      </c>
      <c r="D30" s="8" t="inlineStr">
        <is>
          <t>3 sized model(s) × per-model sidecar</t>
        </is>
      </c>
    </row>
    <row r="31">
      <c r="A31" s="15" t="inlineStr">
        <is>
          <t>Subtotal — dynamic non-GPU demand</t>
        </is>
      </c>
      <c r="B31" s="15">
        <f>ROUND(SUM(B18:B30),2)</f>
        <v/>
      </c>
      <c r="C31" s="15">
        <f>ROUND(SUM(C18:C30),2)</f>
        <v/>
      </c>
      <c r="D31" s="15" t="inlineStr"/>
    </row>
    <row r="33">
      <c r="A33" s="4" t="inlineStr">
        <is>
          <t>C. Total non-GPU (CPU worker) demand</t>
        </is>
      </c>
    </row>
    <row r="34">
      <c r="A34" s="6" t="inlineStr">
        <is>
          <t>Metric</t>
        </is>
      </c>
      <c r="B34" s="6" t="inlineStr">
        <is>
          <t>Value</t>
        </is>
      </c>
      <c r="C34" s="6" t="inlineStr">
        <is>
          <t>Unit</t>
        </is>
      </c>
    </row>
    <row r="35">
      <c r="A35" s="8" t="inlineStr">
        <is>
          <t>CPU worker vCPU demand</t>
        </is>
      </c>
      <c r="B35" s="8">
        <f>ROUND(C14+B31,2)</f>
        <v/>
      </c>
      <c r="C35" s="8" t="inlineStr">
        <is>
          <t>vCPU</t>
        </is>
      </c>
    </row>
    <row r="36">
      <c r="A36" s="8" t="inlineStr">
        <is>
          <t>CPU worker RAM demand</t>
        </is>
      </c>
      <c r="B36" s="8">
        <f>ROUND(D14+C31,2)</f>
        <v/>
      </c>
      <c r="C36" s="8" t="inlineStr">
        <is>
          <t>GiB</t>
        </is>
      </c>
    </row>
    <row r="37">
      <c r="A37" s="8" t="inlineStr">
        <is>
          <t>CPU worker nodes (computed)</t>
        </is>
      </c>
      <c r="B37" s="8">
        <f>MAX('Reference'!B39,ROUNDUP(B35/(16*'Inputs'!B31),0),ROUNDUP(B36/(64*'Inputs'!B31),0))</f>
        <v/>
      </c>
      <c r="C37" s="8" t="inlineStr">
        <is>
          <t>nodes</t>
        </is>
      </c>
    </row>
    <row r="39">
      <c r="A39" t="inlineStr">
        <is>
          <t>Total worker nodes (High) — used to pick control-plane/infra tiers</t>
        </is>
      </c>
      <c r="B39">
        <f>B37+SUM('GPU Performance'!H4:'GPU Performance'!H4)</f>
        <v/>
      </c>
    </row>
    <row r="41">
      <c r="A41" s="4" t="inlineStr">
        <is>
          <t>D. Node pools</t>
        </is>
      </c>
    </row>
    <row r="42">
      <c r="A42" s="6" t="inlineStr">
        <is>
          <t>Role</t>
        </is>
      </c>
      <c r="B42" s="6" t="inlineStr">
        <is>
          <t>Count</t>
        </is>
      </c>
      <c r="C42" s="6" t="inlineStr">
        <is>
          <t>vCPU/node</t>
        </is>
      </c>
      <c r="D42" s="6" t="inlineStr">
        <is>
          <t>RAM (GB)/node</t>
        </is>
      </c>
    </row>
    <row r="43">
      <c r="A43" s="8" t="inlineStr">
        <is>
          <t>Control plane</t>
        </is>
      </c>
      <c r="B43" s="8">
        <f>'Reference'!B36</f>
        <v/>
      </c>
      <c r="C43" s="8">
        <f>IFS(B39&lt;='Reference'!A12,'Reference'!B12,B39&lt;='Reference'!A13,'Reference'!B13,B39&lt;='Reference'!A14,'Reference'!B14,TRUE,'Reference'!B15)</f>
        <v/>
      </c>
      <c r="D43" s="8">
        <f>IFS(B39&lt;='Reference'!A12,'Reference'!C12,B39&lt;='Reference'!A13,'Reference'!C13,B39&lt;='Reference'!A14,'Reference'!C14,TRUE,'Reference'!C15)</f>
        <v/>
      </c>
    </row>
    <row r="44">
      <c r="A44" s="8" t="inlineStr">
        <is>
          <t>Infra</t>
        </is>
      </c>
      <c r="B44" s="8">
        <f>'Inputs'!B30</f>
        <v/>
      </c>
      <c r="C44" s="8">
        <f>IFS(B39&lt;='Reference'!A19,'Reference'!B19,B39&lt;='Reference'!A20,'Reference'!B20,B39&lt;='Reference'!A21,'Reference'!B21,TRUE,'Reference'!B22)</f>
        <v/>
      </c>
      <c r="D44" s="8">
        <f>IFS(B39&lt;='Reference'!A19,'Reference'!C19,B39&lt;='Reference'!A20,'Reference'!C20,B39&lt;='Reference'!A21,'Reference'!C21,TRUE,'Reference'!C22)</f>
        <v/>
      </c>
    </row>
    <row r="45">
      <c r="A45" s="8" t="inlineStr">
        <is>
          <t>CPU worker</t>
        </is>
      </c>
      <c r="B45" s="8">
        <f>B37</f>
        <v/>
      </c>
      <c r="C45" s="8" t="n">
        <v>16</v>
      </c>
      <c r="D45" s="8" t="n">
        <v>64</v>
      </c>
    </row>
    <row r="46">
      <c r="A46" s="13" t="inlineStr">
        <is>
          <t>GPU worker (NVIDIA B300 SXM6 AC)</t>
        </is>
      </c>
      <c r="B46" s="13">
        <f>'GPU Performance'!H4</f>
        <v/>
      </c>
      <c r="C46" s="13" t="inlineStr">
        <is>
          <t>—</t>
        </is>
      </c>
      <c r="D46" s="13" t="inlineStr">
        <is>
          <t>—</t>
        </is>
      </c>
    </row>
    <row r="48">
      <c r="A48" s="4" t="inlineStr">
        <is>
          <t>E. Storage</t>
        </is>
      </c>
    </row>
    <row r="49">
      <c r="A49" s="6" t="inlineStr">
        <is>
          <t>Item</t>
        </is>
      </c>
      <c r="B49" s="6" t="inlineStr">
        <is>
          <t>Value</t>
        </is>
      </c>
      <c r="C49" s="6" t="inlineStr">
        <is>
          <t>Unit</t>
        </is>
      </c>
      <c r="D49" s="6" t="inlineStr">
        <is>
          <t>Basis</t>
        </is>
      </c>
    </row>
    <row r="50">
      <c r="A50" s="8" t="inlineStr">
        <is>
          <t>Object storage</t>
        </is>
      </c>
      <c r="B50" s="8">
        <f>ROUNDUP('Reference'!B58+('Models'!J4+'Models'!J5+'Models'!J6)*'Inputs'!B32,0)</f>
        <v/>
      </c>
      <c r="C50" s="8" t="inlineStr">
        <is>
          <t>GiB</t>
        </is>
      </c>
      <c r="D50" s="8" t="inlineStr">
        <is>
          <t>Internal registry minimum + model weights × versions kept</t>
        </is>
      </c>
    </row>
    <row r="51">
      <c r="A51" s="8" t="inlineStr">
        <is>
          <t>Block storage</t>
        </is>
      </c>
      <c r="B51" s="8">
        <f>ROUNDUP(IF('Inputs'!B8="disconnected",400+('Models'!J4+'Models'!J5+'Models'!J6)*'Inputs'!B32,0)+'Inputs'!B24*'Inputs'!B25+'Inputs'!B28*100+IF('Inputs'!B59,10*1*'Inputs'!B23,0),0)</f>
        <v/>
      </c>
      <c r="C51" s="8" t="inlineStr">
        <is>
          <t>GiB</t>
        </is>
      </c>
      <c r="D51" s="8" t="inlineStr">
        <is>
          <t>Mirror registry (if disconnected) + workbenches + vector DB + per-project volumes</t>
        </is>
      </c>
    </row>
    <row r="52">
      <c r="A52" s="8" t="inlineStr">
        <is>
          <t>GPU-node local NVMe</t>
        </is>
      </c>
      <c r="B52" s="8">
        <f>ROUNDUP(MAX(0,'Models'!J4,'Models'!J5,'Models'!J6)*'Reference'!B65*1,0)</f>
        <v/>
      </c>
      <c r="C52" s="8" t="inlineStr">
        <is>
          <t>GB</t>
        </is>
      </c>
      <c r="D52" s="8" t="inlineStr">
        <is>
          <t>2× largest model artifact per GPU node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  <col width="50" customWidth="1" min="5" max="5"/>
  </cols>
  <sheetData>
    <row r="1" ht="24" customHeight="1">
      <c r="A1" s="1" t="inlineStr">
        <is>
          <t>Minimum cluster requirements and component dependencies</t>
        </is>
      </c>
    </row>
    <row r="3">
      <c r="A3" s="4" t="inlineStr">
        <is>
          <t>A. Platform inputs</t>
        </is>
      </c>
    </row>
    <row r="4">
      <c r="A4" s="9" t="inlineStr">
        <is>
          <t>OpenShift version</t>
        </is>
      </c>
      <c r="B4" s="10">
        <f>'Inputs'!B7</f>
        <v/>
      </c>
    </row>
    <row r="5">
      <c r="A5" s="9" t="inlineStr">
        <is>
          <t>Target cluster type</t>
        </is>
      </c>
      <c r="B5" s="10">
        <f>'Inputs'!B9</f>
        <v/>
      </c>
    </row>
    <row r="6">
      <c r="A6" s="9" t="inlineStr">
        <is>
          <t>Network connectivity</t>
        </is>
      </c>
      <c r="B6" s="10">
        <f>'Inputs'!B8</f>
        <v/>
      </c>
    </row>
    <row r="7">
      <c r="A7" s="9" t="inlineStr">
        <is>
          <t>Number of data science projects</t>
        </is>
      </c>
      <c r="B7" s="10">
        <f>'Inputs'!B23</f>
        <v/>
      </c>
    </row>
    <row r="8">
      <c r="A8" s="9" t="inlineStr">
        <is>
          <t>Concurrent workbenches</t>
        </is>
      </c>
      <c r="B8" s="10">
        <f>'Inputs'!B24</f>
        <v/>
      </c>
    </row>
    <row r="9">
      <c r="A9" s="9" t="inlineStr">
        <is>
          <t>Infra nodes per cluster</t>
        </is>
      </c>
      <c r="B9" s="10">
        <f>'Inputs'!B30</f>
        <v/>
      </c>
    </row>
    <row r="11">
      <c r="A11" s="4" t="inlineStr">
        <is>
          <t>B. DataScienceCluster components</t>
        </is>
      </c>
    </row>
    <row r="12">
      <c r="A12" s="6" t="inlineStr">
        <is>
          <t>Component</t>
        </is>
      </c>
      <c r="B12" s="6" t="inlineStr">
        <is>
          <t>Enabled</t>
        </is>
      </c>
      <c r="C12" s="6" t="inlineStr">
        <is>
          <t>Status</t>
        </is>
      </c>
      <c r="D12" s="6" t="inlineStr">
        <is>
          <t>Database</t>
        </is>
      </c>
      <c r="E12" s="6" t="inlineStr">
        <is>
          <t>Prerequisites</t>
        </is>
      </c>
    </row>
    <row r="13">
      <c r="A13" s="8" t="inlineStr">
        <is>
          <t>Dashboard</t>
        </is>
      </c>
      <c r="B13" s="8">
        <f>'Inputs'!B38</f>
        <v/>
      </c>
      <c r="C13" s="8" t="inlineStr">
        <is>
          <t>GA</t>
        </is>
      </c>
      <c r="D13" s="8" t="inlineStr"/>
      <c r="E13" s="8" t="inlineStr"/>
    </row>
    <row r="14">
      <c r="A14" s="8" t="inlineStr">
        <is>
          <t>Workbenches</t>
        </is>
      </c>
      <c r="B14" s="8">
        <f>'Inputs'!B39</f>
        <v/>
      </c>
      <c r="C14" s="8" t="inlineStr">
        <is>
          <t>GA</t>
        </is>
      </c>
      <c r="D14" s="8" t="inlineStr"/>
      <c r="E14" s="8" t="inlineStr"/>
    </row>
    <row r="15">
      <c r="A15" s="8" t="inlineStr">
        <is>
          <t>AI Pipelines</t>
        </is>
      </c>
      <c r="B15" s="8">
        <f>'Inputs'!B40</f>
        <v/>
      </c>
      <c r="C15" s="8" t="inlineStr">
        <is>
          <t>GA</t>
        </is>
      </c>
      <c r="D15" s="8" t="inlineStr">
        <is>
          <t>MariaDB/MySQL</t>
        </is>
      </c>
      <c r="E15" s="8" t="inlineStr">
        <is>
          <t>S3-compatible object storage</t>
        </is>
      </c>
    </row>
    <row r="16">
      <c r="A16" s="8" t="inlineStr">
        <is>
          <t>KServe (Model Serving)</t>
        </is>
      </c>
      <c r="B16" s="8">
        <f>'Inputs'!B41</f>
        <v/>
      </c>
      <c r="C16" s="8" t="inlineStr">
        <is>
          <t>GA</t>
        </is>
      </c>
      <c r="D16" s="8" t="inlineStr"/>
      <c r="E16" s="8" t="inlineStr">
        <is>
          <t>cert-manager</t>
        </is>
      </c>
    </row>
    <row r="17">
      <c r="A17" s="8" t="inlineStr">
        <is>
          <t>AI Gateway / MaaS (Models-as-a-Service)</t>
        </is>
      </c>
      <c r="B17" s="8">
        <f>'Inputs'!B42</f>
        <v/>
      </c>
      <c r="C17" s="8" t="inlineStr">
        <is>
          <t>Technology Preview</t>
        </is>
      </c>
      <c r="D17" s="8" t="inlineStr">
        <is>
          <t>PostgreSQL (gateway policy/usage store)</t>
        </is>
      </c>
      <c r="E17" s="8" t="inlineStr">
        <is>
          <t>Red Hat Connectivity Link</t>
        </is>
      </c>
    </row>
    <row r="18">
      <c r="A18" s="8" t="inlineStr">
        <is>
          <t>Kueue</t>
        </is>
      </c>
      <c r="B18" s="8">
        <f>'Inputs'!B43</f>
        <v/>
      </c>
      <c r="C18" s="8" t="inlineStr">
        <is>
          <t>GA</t>
        </is>
      </c>
      <c r="D18" s="8" t="inlineStr"/>
      <c r="E18" s="8" t="inlineStr">
        <is>
          <t>Red Hat build of Kueue Operator, cert-manager</t>
        </is>
      </c>
    </row>
    <row r="19">
      <c r="A19" s="8" t="inlineStr">
        <is>
          <t>Ray (KubeRay)</t>
        </is>
      </c>
      <c r="B19" s="8">
        <f>'Inputs'!B44</f>
        <v/>
      </c>
      <c r="C19" s="8" t="inlineStr">
        <is>
          <t>GA</t>
        </is>
      </c>
      <c r="D19" s="8" t="inlineStr"/>
      <c r="E19" s="8" t="inlineStr">
        <is>
          <t>Red Hat build of Kueue Operator, cert-manager</t>
        </is>
      </c>
    </row>
    <row r="20">
      <c r="A20" s="8" t="inlineStr">
        <is>
          <t>Kubeflow Trainer v2</t>
        </is>
      </c>
      <c r="B20" s="8">
        <f>'Inputs'!B45</f>
        <v/>
      </c>
      <c r="C20" s="8" t="inlineStr">
        <is>
          <t>GA</t>
        </is>
      </c>
      <c r="D20" s="8" t="inlineStr"/>
      <c r="E20" s="8" t="inlineStr">
        <is>
          <t>JobSet Operator</t>
        </is>
      </c>
    </row>
    <row r="21">
      <c r="A21" s="8" t="inlineStr">
        <is>
          <t>Kubeflow Training Operator v1</t>
        </is>
      </c>
      <c r="B21" s="8">
        <f>'Inputs'!B46</f>
        <v/>
      </c>
      <c r="C21" s="8" t="inlineStr">
        <is>
          <t>Deprecated</t>
        </is>
      </c>
      <c r="D21" s="8" t="inlineStr"/>
      <c r="E21" s="8" t="inlineStr">
        <is>
          <t>Red Hat build of Kueue Operator, cert-manager</t>
        </is>
      </c>
    </row>
    <row r="22">
      <c r="A22" s="8" t="inlineStr">
        <is>
          <t>Feature Store (Feast)</t>
        </is>
      </c>
      <c r="B22" s="8">
        <f>'Inputs'!B47</f>
        <v/>
      </c>
      <c r="C22" s="8" t="inlineStr">
        <is>
          <t>GA</t>
        </is>
      </c>
      <c r="D22" s="8" t="inlineStr">
        <is>
          <t>Redis/Valkey or PostgreSQL</t>
        </is>
      </c>
      <c r="E22" s="8" t="inlineStr"/>
    </row>
    <row r="23">
      <c r="A23" s="8" t="inlineStr">
        <is>
          <t>Model Registry</t>
        </is>
      </c>
      <c r="B23" s="8">
        <f>'Inputs'!B48</f>
        <v/>
      </c>
      <c r="C23" s="8" t="inlineStr">
        <is>
          <t>GA</t>
        </is>
      </c>
      <c r="D23" s="8" t="inlineStr">
        <is>
          <t>MySQL 5.x+/8.x or PostgreSQL (in-cluster default: 5Gi PVC)</t>
        </is>
      </c>
      <c r="E23" s="8" t="inlineStr"/>
    </row>
    <row r="24">
      <c r="A24" s="8" t="inlineStr">
        <is>
          <t>TrustyAI / Guardrails / EvalHub</t>
        </is>
      </c>
      <c r="B24" s="8">
        <f>'Inputs'!B49</f>
        <v/>
      </c>
      <c r="C24" s="8" t="inlineStr">
        <is>
          <t>GA</t>
        </is>
      </c>
      <c r="D24" s="8" t="inlineStr">
        <is>
          <t>PostgreSQL</t>
        </is>
      </c>
      <c r="E24" s="8" t="inlineStr"/>
    </row>
    <row r="25">
      <c r="A25" s="8" t="inlineStr">
        <is>
          <t>MLflow</t>
        </is>
      </c>
      <c r="B25" s="8">
        <f>'Inputs'!B50</f>
        <v/>
      </c>
      <c r="C25" s="8" t="inlineStr">
        <is>
          <t>GA</t>
        </is>
      </c>
      <c r="D25" s="8" t="inlineStr">
        <is>
          <t>PostgreSQL (SQLite for dev/test only)</t>
        </is>
      </c>
      <c r="E25" s="8" t="inlineStr">
        <is>
          <t>PostgreSQL, S3 (trace archival)</t>
        </is>
      </c>
    </row>
    <row r="26">
      <c r="A26" s="8" t="inlineStr">
        <is>
          <t>OGX (formerly Llama Stack)</t>
        </is>
      </c>
      <c r="B26" s="8">
        <f>'Inputs'!B51</f>
        <v/>
      </c>
      <c r="C26" s="8" t="inlineStr">
        <is>
          <t>GA</t>
        </is>
      </c>
      <c r="D26" s="8" t="inlineStr">
        <is>
          <t>PostgreSQL (required for production; SQLite dev/test only)</t>
        </is>
      </c>
      <c r="E26" s="8" t="inlineStr">
        <is>
          <t>OGX Operator, cert-manager, NFD, NVIDIA GPU Operator, S3 object storage, PostgreSQL Operator</t>
        </is>
      </c>
    </row>
    <row r="27">
      <c r="A27" s="8" t="inlineStr">
        <is>
          <t>MCP Lifecycle Operator</t>
        </is>
      </c>
      <c r="B27" s="8">
        <f>'Inputs'!B52</f>
        <v/>
      </c>
      <c r="C27" s="8" t="inlineStr">
        <is>
          <t>Technology Preview</t>
        </is>
      </c>
      <c r="D27" s="8" t="inlineStr"/>
      <c r="E27" s="8" t="inlineStr"/>
    </row>
    <row r="29">
      <c r="A29" s="4" t="inlineStr">
        <is>
          <t>C. Node count summary</t>
        </is>
      </c>
    </row>
    <row r="30">
      <c r="A30" s="6" t="inlineStr">
        <is>
          <t>Scenario</t>
        </is>
      </c>
      <c r="B30" s="6" t="inlineStr">
        <is>
          <t>Total nodes</t>
        </is>
      </c>
    </row>
    <row r="31">
      <c r="A31" s="8" t="inlineStr">
        <is>
          <t>Low</t>
        </is>
      </c>
      <c r="B31" s="8">
        <f>'Reference'!B36+'Inputs'!B30+'Cluster Architecture'!B37+SUM('GPU Performance'!G4:'GPU Performance'!G4)</f>
        <v/>
      </c>
    </row>
    <row r="32">
      <c r="A32" s="8" t="inlineStr">
        <is>
          <t>High</t>
        </is>
      </c>
      <c r="B32" s="8">
        <f>'Reference'!B36+'Inputs'!B30+'Cluster Architecture'!B37+SUM('GPU Performance'!H4:'GPU Performance'!H4)</f>
        <v/>
      </c>
    </row>
    <row r="33">
      <c r="A33" s="8" t="inlineStr">
        <is>
          <t>Stress</t>
        </is>
      </c>
      <c r="B33" s="8">
        <f>'Reference'!B36+'Inputs'!B30+'Cluster Architecture'!B37+SUM('GPU Performance'!I4:'GPU Performance'!I4)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 ht="24" customHeight="1">
      <c r="A1" s="1" t="inlineStr">
        <is>
          <t>Meridian Trust Bank — Red Hat subscription bill of materials</t>
        </is>
      </c>
    </row>
    <row r="2">
      <c r="A2" s="16" t="inlineStr">
        <is>
          <t>Red Hat AI Enterprise is counted per node, physical or virtual, for GPU and CPU worker nodes alike, regardless of the number of GPUs in a node.</t>
        </is>
      </c>
    </row>
    <row r="4">
      <c r="A4" s="6" t="inlineStr">
        <is>
          <t>SKU</t>
        </is>
      </c>
      <c r="B4" s="6" t="inlineStr">
        <is>
          <t>Description</t>
        </is>
      </c>
      <c r="C4" s="6" t="inlineStr">
        <is>
          <t>Qty (Low)</t>
        </is>
      </c>
      <c r="D4" s="6" t="inlineStr">
        <is>
          <t>Qty (High)</t>
        </is>
      </c>
      <c r="E4" s="6" t="inlineStr">
        <is>
          <t>Qty (Stress)</t>
        </is>
      </c>
      <c r="F4" s="6" t="inlineStr">
        <is>
          <t>Remarks</t>
        </is>
      </c>
    </row>
    <row r="5">
      <c r="A5" s="8" t="inlineStr">
        <is>
          <t>MCT4990</t>
        </is>
      </c>
      <c r="B5" s="8" t="inlineStr">
        <is>
          <t>Red Hat AI Enterprise, Premium (1 Physical or Virtual Node)</t>
        </is>
      </c>
      <c r="C5" s="8">
        <f>'Cluster Architecture'!B37+SUM('GPU Performance'!G4:'GPU Performance'!G4)</f>
        <v/>
      </c>
      <c r="D5" s="8">
        <f>'Cluster Architecture'!B37+SUM('GPU Performance'!H4:'GPU Performance'!H4)</f>
        <v/>
      </c>
      <c r="E5" s="8">
        <f>'Cluster Architecture'!B37+SUM('GPU Performance'!I4:'GPU Performance'!I4)</f>
        <v/>
      </c>
      <c r="F5" s="8" t="inlineStr">
        <is>
          <t>Counts GPU worker nodes + CPU worker nodes across all enabled environments.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Meridian Trust Bank — hardware bill of materials</t>
        </is>
      </c>
    </row>
    <row r="3">
      <c r="A3" s="6" t="inlineStr">
        <is>
          <t>Node type</t>
        </is>
      </c>
      <c r="B3" s="6" t="inlineStr">
        <is>
          <t>GPU</t>
        </is>
      </c>
      <c r="C3" s="6" t="inlineStr">
        <is>
          <t>GPUs/node</t>
        </is>
      </c>
      <c r="D3" s="6" t="inlineStr">
        <is>
          <t>Nodes (Low)</t>
        </is>
      </c>
      <c r="E3" s="6" t="inlineStr">
        <is>
          <t>Nodes (High)</t>
        </is>
      </c>
      <c r="F3" s="6" t="inlineStr">
        <is>
          <t>Nodes (Stress)</t>
        </is>
      </c>
    </row>
    <row r="4">
      <c r="A4" s="13" t="inlineStr">
        <is>
          <t>gpu-nvidia-b300-sxm6-ac</t>
        </is>
      </c>
      <c r="B4" s="13">
        <f>'GPU Performance'!A4</f>
        <v/>
      </c>
      <c r="C4" s="13">
        <f>'GPU Performance'!C4</f>
        <v/>
      </c>
      <c r="D4" s="13">
        <f>'GPU Performance'!G4</f>
        <v/>
      </c>
      <c r="E4" s="13">
        <f>'GPU Performance'!H4</f>
        <v/>
      </c>
      <c r="F4" s="13">
        <f>'GPU Performance'!I4</f>
        <v/>
      </c>
    </row>
    <row r="5">
      <c r="A5" s="8" t="inlineStr">
        <is>
          <t>cpu-worker</t>
        </is>
      </c>
      <c r="B5" s="8" t="inlineStr">
        <is>
          <t>—</t>
        </is>
      </c>
      <c r="C5" s="8" t="inlineStr">
        <is>
          <t>—</t>
        </is>
      </c>
      <c r="D5" s="8">
        <f>'Cluster Architecture'!B37</f>
        <v/>
      </c>
      <c r="E5" s="8">
        <f>'Cluster Architecture'!B37</f>
        <v/>
      </c>
      <c r="F5" s="8">
        <f>'Cluster Architecture'!B37</f>
        <v/>
      </c>
    </row>
    <row r="6">
      <c r="A6" s="8" t="inlineStr">
        <is>
          <t>control-plane</t>
        </is>
      </c>
      <c r="B6" s="8" t="inlineStr">
        <is>
          <t>—</t>
        </is>
      </c>
      <c r="C6" s="8" t="inlineStr">
        <is>
          <t>—</t>
        </is>
      </c>
      <c r="D6" s="8">
        <f>'Reference'!B36</f>
        <v/>
      </c>
      <c r="E6" s="8">
        <f>'Reference'!B36</f>
        <v/>
      </c>
      <c r="F6" s="8">
        <f>'Reference'!B36</f>
        <v/>
      </c>
    </row>
    <row r="7">
      <c r="A7" s="8" t="inlineStr">
        <is>
          <t>infra</t>
        </is>
      </c>
      <c r="B7" s="8" t="inlineStr">
        <is>
          <t>—</t>
        </is>
      </c>
      <c r="C7" s="8" t="inlineStr">
        <is>
          <t>—</t>
        </is>
      </c>
      <c r="D7" s="8">
        <f>'Inputs'!B30</f>
        <v/>
      </c>
      <c r="E7" s="8">
        <f>'Inputs'!B30</f>
        <v/>
      </c>
      <c r="F7" s="8">
        <f>'Inputs'!B30</f>
        <v/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</cols>
  <sheetData>
    <row r="1" ht="24" customHeight="1">
      <c r="A1" s="1" t="inlineStr">
        <is>
          <t>Meridian Trust Bank — backup and disaster recovery</t>
        </is>
      </c>
    </row>
    <row r="3">
      <c r="A3" s="4" t="inlineStr">
        <is>
          <t>Environments configured</t>
        </is>
      </c>
    </row>
    <row r="4">
      <c r="A4" s="6" t="inlineStr">
        <is>
          <t>Environment</t>
        </is>
      </c>
      <c r="B4" s="6" t="inlineStr">
        <is>
          <t>Included</t>
        </is>
      </c>
    </row>
    <row r="5">
      <c r="A5" s="8" t="inlineStr">
        <is>
          <t>Production</t>
        </is>
      </c>
      <c r="B5" s="8">
        <f>IF('Inputs'!B12,"Yes","No")</f>
        <v/>
      </c>
    </row>
    <row r="6">
      <c r="A6" s="8" t="inlineStr">
        <is>
          <t>Disaster recovery</t>
        </is>
      </c>
      <c r="B6" s="8">
        <f>IF('Inputs'!B13,"Yes","No")</f>
        <v/>
      </c>
    </row>
    <row r="7">
      <c r="A7" s="8" t="inlineStr">
        <is>
          <t>Test / UAT</t>
        </is>
      </c>
      <c r="B7" s="8">
        <f>IF('Inputs'!B14,"Yes","No")</f>
        <v/>
      </c>
    </row>
    <row r="8">
      <c r="A8" s="8" t="inlineStr">
        <is>
          <t>Development</t>
        </is>
      </c>
      <c r="B8" s="8">
        <f>IF('Inputs'!B15,"Yes","No")</f>
        <v/>
      </c>
    </row>
    <row r="10">
      <c r="A10" s="4" t="inlineStr">
        <is>
          <t>Recommended protection mechanisms</t>
        </is>
      </c>
    </row>
    <row r="11">
      <c r="A11" t="inlineStr">
        <is>
          <t>- Model artifacts: object storage geo-replication (asynchronous) to the DR site.</t>
        </is>
      </c>
    </row>
    <row r="12">
      <c r="A12" t="inlineStr">
        <is>
          <t>- Model Registry, MLflow and pipelines metadata: PostgreSQL streaming replication to DR.</t>
        </is>
      </c>
    </row>
    <row r="13">
      <c r="A13" t="inlineStr">
        <is>
          <t>- Workbench PVs and shared datasets: storage-level snapshot/mirroring on a 5-minute schedule.</t>
        </is>
      </c>
    </row>
    <row r="14">
      <c r="A14" t="inlineStr">
        <is>
          <t>- Cluster and RHOAI configuration: GitOps (Argo CD) + OADP backup of RHOAI namespaces.</t>
        </is>
      </c>
    </row>
    <row r="15">
      <c r="A15" t="inlineStr">
        <is>
          <t>- etcd: scheduled snapshot to object storage.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</cols>
  <sheetData>
    <row r="1" ht="24" customHeight="1">
      <c r="A1" s="1" t="inlineStr">
        <is>
          <t>Selected models (sized via ConfigIQ) — see Models sheet for the literal captured values</t>
        </is>
      </c>
    </row>
    <row r="3">
      <c r="A3" s="6" t="inlineStr">
        <is>
          <t>Model</t>
        </is>
      </c>
      <c r="B3" s="6" t="inlineStr">
        <is>
          <t>Params (B)</t>
        </is>
      </c>
      <c r="C3" s="6" t="inlineStr">
        <is>
          <t>Active params (B)</t>
        </is>
      </c>
      <c r="D3" s="6" t="inlineStr">
        <is>
          <t>Precision</t>
        </is>
      </c>
      <c r="E3" s="6" t="inlineStr">
        <is>
          <t>GPU</t>
        </is>
      </c>
      <c r="F3" s="6" t="inlineStr">
        <is>
          <t>GPUs/replica</t>
        </is>
      </c>
      <c r="G3" s="6" t="inlineStr">
        <is>
          <t>Replicas (ConfigIQ default)</t>
        </is>
      </c>
      <c r="H3" s="6" t="inlineStr">
        <is>
          <t>Weights (GB)</t>
        </is>
      </c>
      <c r="I3" s="6" t="inlineStr">
        <is>
          <t>KV cache/1K tok (GB)</t>
        </is>
      </c>
      <c r="J3" s="6" t="inlineStr">
        <is>
          <t>Captured at</t>
        </is>
      </c>
    </row>
    <row r="4">
      <c r="A4" s="13">
        <f>'Models'!A4</f>
        <v/>
      </c>
      <c r="B4" s="13">
        <f>'Models'!B4</f>
        <v/>
      </c>
      <c r="C4" s="13">
        <f>'Models'!C4</f>
        <v/>
      </c>
      <c r="D4" s="13">
        <f>'Models'!D4</f>
        <v/>
      </c>
      <c r="E4" s="13">
        <f>'Models'!E4</f>
        <v/>
      </c>
      <c r="F4" s="13">
        <f>'Models'!F4</f>
        <v/>
      </c>
      <c r="G4" s="13">
        <f>'Models'!H4</f>
        <v/>
      </c>
      <c r="H4" s="13">
        <f>'Models'!J4</f>
        <v/>
      </c>
      <c r="I4" s="13">
        <f>'Models'!K4</f>
        <v/>
      </c>
      <c r="J4" s="13">
        <f>'Models'!S4</f>
        <v/>
      </c>
    </row>
    <row r="5">
      <c r="A5" s="13">
        <f>'Models'!A5</f>
        <v/>
      </c>
      <c r="B5" s="13">
        <f>'Models'!B5</f>
        <v/>
      </c>
      <c r="C5" s="13">
        <f>'Models'!C5</f>
        <v/>
      </c>
      <c r="D5" s="13">
        <f>'Models'!D5</f>
        <v/>
      </c>
      <c r="E5" s="13">
        <f>'Models'!E5</f>
        <v/>
      </c>
      <c r="F5" s="13">
        <f>'Models'!F5</f>
        <v/>
      </c>
      <c r="G5" s="13">
        <f>'Models'!H5</f>
        <v/>
      </c>
      <c r="H5" s="13">
        <f>'Models'!J5</f>
        <v/>
      </c>
      <c r="I5" s="13">
        <f>'Models'!K5</f>
        <v/>
      </c>
      <c r="J5" s="13">
        <f>'Models'!S5</f>
        <v/>
      </c>
    </row>
    <row r="6">
      <c r="A6" s="13">
        <f>'Models'!A6</f>
        <v/>
      </c>
      <c r="B6" s="13">
        <f>'Models'!B6</f>
        <v/>
      </c>
      <c r="C6" s="13">
        <f>'Models'!C6</f>
        <v/>
      </c>
      <c r="D6" s="13">
        <f>'Models'!D6</f>
        <v/>
      </c>
      <c r="E6" s="13">
        <f>'Models'!E6</f>
        <v/>
      </c>
      <c r="F6" s="13">
        <f>'Models'!F6</f>
        <v/>
      </c>
      <c r="G6" s="13">
        <f>'Models'!H6</f>
        <v/>
      </c>
      <c r="H6" s="13">
        <f>'Models'!J6</f>
        <v/>
      </c>
      <c r="I6" s="13">
        <f>'Models'!K6</f>
        <v/>
      </c>
      <c r="J6" s="13">
        <f>'Models'!S6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2026-10-02T11:00:18Z</dcterms:created>
  <dcterms:modified xsi:type="dcterms:W3CDTF">2026-10-02T11:00:18Z</dcterms:modified>
</cp:coreProperties>
</file>